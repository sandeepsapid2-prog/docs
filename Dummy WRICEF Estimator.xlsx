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lo365-my.sharepoint.com/personal/singh-sande_hcltech_com/Documents/Documents/Cummins/"/>
    </mc:Choice>
  </mc:AlternateContent>
  <xr:revisionPtr revIDLastSave="85" documentId="8_{934F4AF5-4832-416E-97C7-B086BAEF3178}" xr6:coauthVersionLast="47" xr6:coauthVersionMax="47" xr10:uidLastSave="{F04D9D0E-99A9-4375-A8A6-60C39FD73DCD}"/>
  <bookViews>
    <workbookView xWindow="-110" yWindow="-110" windowWidth="19420" windowHeight="10300" activeTab="1" xr2:uid="{C20A9117-8AD8-4EDB-8EFB-515B1FC06365}"/>
  </bookViews>
  <sheets>
    <sheet name="RICEFW Estimator" sheetId="1" r:id="rId1"/>
    <sheet name="Resource Loa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6" i="2"/>
  <c r="I5" i="2"/>
  <c r="I4" i="2"/>
  <c r="I3" i="2"/>
  <c r="I2" i="2"/>
  <c r="E48" i="1"/>
  <c r="C48" i="1"/>
  <c r="G46" i="1"/>
  <c r="E45" i="1"/>
  <c r="C45" i="1"/>
  <c r="E44" i="1"/>
  <c r="C44" i="1"/>
  <c r="G42" i="1"/>
  <c r="E42" i="1"/>
  <c r="E41" i="1"/>
  <c r="C40" i="1"/>
  <c r="F33" i="1"/>
  <c r="G32" i="1"/>
  <c r="E32" i="1"/>
  <c r="C32" i="1"/>
  <c r="AI30" i="1"/>
  <c r="AH30" i="1"/>
  <c r="AJ30" i="1" s="1"/>
  <c r="D30" i="1"/>
  <c r="AJ29" i="1"/>
  <c r="AI29" i="1"/>
  <c r="AH29" i="1"/>
  <c r="E29" i="1"/>
  <c r="AI28" i="1"/>
  <c r="AJ28" i="1" s="1"/>
  <c r="AH28" i="1"/>
  <c r="F28" i="1"/>
  <c r="D28" i="1"/>
  <c r="AJ27" i="1"/>
  <c r="AI27" i="1"/>
  <c r="AH27" i="1"/>
  <c r="G27" i="1"/>
  <c r="E27" i="1"/>
  <c r="AI26" i="1"/>
  <c r="AH26" i="1"/>
  <c r="AJ26" i="1" s="1"/>
  <c r="AI25" i="1"/>
  <c r="AJ25" i="1" s="1"/>
  <c r="AH25" i="1"/>
  <c r="AJ24" i="1"/>
  <c r="AI24" i="1"/>
  <c r="AH24" i="1"/>
  <c r="AI23" i="1"/>
  <c r="AH23" i="1"/>
  <c r="AJ23" i="1" s="1"/>
  <c r="AI22" i="1"/>
  <c r="AH22" i="1"/>
  <c r="AJ22" i="1" s="1"/>
  <c r="AI21" i="1"/>
  <c r="G45" i="1" s="1"/>
  <c r="AH21" i="1"/>
  <c r="AJ21" i="1" s="1"/>
  <c r="G21" i="1"/>
  <c r="G35" i="1" s="1"/>
  <c r="F21" i="1"/>
  <c r="F48" i="1" s="1"/>
  <c r="E21" i="1"/>
  <c r="E35" i="1" s="1"/>
  <c r="D21" i="1"/>
  <c r="H21" i="1" s="1"/>
  <c r="C21" i="1"/>
  <c r="C35" i="1" s="1"/>
  <c r="AI20" i="1"/>
  <c r="AH20" i="1"/>
  <c r="AJ20" i="1" s="1"/>
  <c r="G20" i="1"/>
  <c r="G47" i="1" s="1"/>
  <c r="F20" i="1"/>
  <c r="F34" i="1" s="1"/>
  <c r="E20" i="1"/>
  <c r="E47" i="1" s="1"/>
  <c r="D20" i="1"/>
  <c r="D47" i="1" s="1"/>
  <c r="C20" i="1"/>
  <c r="H20" i="1" s="1"/>
  <c r="AJ19" i="1"/>
  <c r="AI19" i="1"/>
  <c r="AH19" i="1"/>
  <c r="G19" i="1"/>
  <c r="G33" i="1" s="1"/>
  <c r="F19" i="1"/>
  <c r="F46" i="1" s="1"/>
  <c r="E19" i="1"/>
  <c r="E33" i="1" s="1"/>
  <c r="D19" i="1"/>
  <c r="D46" i="1" s="1"/>
  <c r="C19" i="1"/>
  <c r="AJ18" i="1"/>
  <c r="AI18" i="1"/>
  <c r="AH18" i="1"/>
  <c r="G18" i="1"/>
  <c r="F18" i="1"/>
  <c r="F45" i="1" s="1"/>
  <c r="E18" i="1"/>
  <c r="D18" i="1"/>
  <c r="D45" i="1" s="1"/>
  <c r="C18" i="1"/>
  <c r="AJ17" i="1"/>
  <c r="AI17" i="1"/>
  <c r="AH17" i="1"/>
  <c r="G17" i="1"/>
  <c r="G31" i="1" s="1"/>
  <c r="F17" i="1"/>
  <c r="F44" i="1" s="1"/>
  <c r="E17" i="1"/>
  <c r="E31" i="1" s="1"/>
  <c r="D17" i="1"/>
  <c r="D44" i="1" s="1"/>
  <c r="C17" i="1"/>
  <c r="C31" i="1" s="1"/>
  <c r="AJ16" i="1"/>
  <c r="AI16" i="1"/>
  <c r="AH16" i="1"/>
  <c r="G16" i="1"/>
  <c r="G30" i="1" s="1"/>
  <c r="F16" i="1"/>
  <c r="F43" i="1" s="1"/>
  <c r="E16" i="1"/>
  <c r="E30" i="1" s="1"/>
  <c r="D16" i="1"/>
  <c r="D43" i="1" s="1"/>
  <c r="C16" i="1"/>
  <c r="C43" i="1" s="1"/>
  <c r="AI15" i="1"/>
  <c r="AJ15" i="1" s="1"/>
  <c r="AH15" i="1"/>
  <c r="H15" i="1"/>
  <c r="G15" i="1"/>
  <c r="G29" i="1" s="1"/>
  <c r="F15" i="1"/>
  <c r="F29" i="1" s="1"/>
  <c r="E15" i="1"/>
  <c r="D15" i="1"/>
  <c r="D29" i="1" s="1"/>
  <c r="C15" i="1"/>
  <c r="C42" i="1" s="1"/>
  <c r="AJ14" i="1"/>
  <c r="AI14" i="1"/>
  <c r="AH14" i="1"/>
  <c r="G14" i="1"/>
  <c r="G28" i="1" s="1"/>
  <c r="F14" i="1"/>
  <c r="F41" i="1" s="1"/>
  <c r="E14" i="1"/>
  <c r="E28" i="1" s="1"/>
  <c r="D14" i="1"/>
  <c r="D41" i="1" s="1"/>
  <c r="C14" i="1"/>
  <c r="C28" i="1" s="1"/>
  <c r="H28" i="1" s="1"/>
  <c r="L34" i="1" s="1"/>
  <c r="AI13" i="1"/>
  <c r="AJ13" i="1" s="1"/>
  <c r="AH13" i="1"/>
  <c r="H13" i="1"/>
  <c r="G13" i="1"/>
  <c r="G40" i="1" s="1"/>
  <c r="F13" i="1"/>
  <c r="F40" i="1" s="1"/>
  <c r="E13" i="1"/>
  <c r="D13" i="1"/>
  <c r="D40" i="1" s="1"/>
  <c r="C13" i="1"/>
  <c r="C27" i="1" s="1"/>
  <c r="AJ12" i="1"/>
  <c r="AI12" i="1"/>
  <c r="AH12" i="1"/>
  <c r="AI11" i="1"/>
  <c r="AH11" i="1"/>
  <c r="AJ11" i="1" s="1"/>
  <c r="AI10" i="1"/>
  <c r="AH10" i="1"/>
  <c r="AJ10" i="1" s="1"/>
  <c r="AI9" i="1"/>
  <c r="AJ9" i="1" s="1"/>
  <c r="AH9" i="1"/>
  <c r="AI8" i="1"/>
  <c r="AH8" i="1"/>
  <c r="AJ8" i="1" s="1"/>
  <c r="AI7" i="1"/>
  <c r="AJ7" i="1" s="1"/>
  <c r="AH7" i="1"/>
  <c r="AJ6" i="1"/>
  <c r="AI6" i="1"/>
  <c r="AH6" i="1"/>
  <c r="AI5" i="1"/>
  <c r="E40" i="1" s="1"/>
  <c r="AH5" i="1"/>
  <c r="AJ5" i="1" s="1"/>
  <c r="AJ4" i="1"/>
  <c r="AI4" i="1"/>
  <c r="AH4" i="1"/>
  <c r="H44" i="1" l="1"/>
  <c r="D49" i="1"/>
  <c r="H45" i="1"/>
  <c r="N34" i="1"/>
  <c r="M34" i="1"/>
  <c r="H48" i="1"/>
  <c r="E34" i="1"/>
  <c r="E36" i="1" s="1"/>
  <c r="C47" i="1"/>
  <c r="H17" i="1"/>
  <c r="H18" i="1"/>
  <c r="C22" i="1"/>
  <c r="F30" i="1"/>
  <c r="G34" i="1"/>
  <c r="G36" i="1" s="1"/>
  <c r="F35" i="1"/>
  <c r="E43" i="1"/>
  <c r="E49" i="1" s="1"/>
  <c r="G44" i="1"/>
  <c r="C46" i="1"/>
  <c r="G48" i="1"/>
  <c r="H16" i="1"/>
  <c r="D22" i="1"/>
  <c r="H40" i="1"/>
  <c r="D42" i="1"/>
  <c r="H42" i="1" s="1"/>
  <c r="F47" i="1"/>
  <c r="E22" i="1"/>
  <c r="D31" i="1"/>
  <c r="H31" i="1" s="1"/>
  <c r="G43" i="1"/>
  <c r="E46" i="1"/>
  <c r="C41" i="1"/>
  <c r="H14" i="1"/>
  <c r="F22" i="1"/>
  <c r="D27" i="1"/>
  <c r="D36" i="1" s="1"/>
  <c r="D32" i="1"/>
  <c r="H32" i="1" s="1"/>
  <c r="C33" i="1"/>
  <c r="H33" i="1" s="1"/>
  <c r="F42" i="1"/>
  <c r="F49" i="1" s="1"/>
  <c r="C29" i="1"/>
  <c r="H29" i="1" s="1"/>
  <c r="L33" i="1" s="1"/>
  <c r="F31" i="1"/>
  <c r="D33" i="1"/>
  <c r="C34" i="1"/>
  <c r="F27" i="1"/>
  <c r="F36" i="1" s="1"/>
  <c r="C30" i="1"/>
  <c r="F32" i="1"/>
  <c r="D34" i="1"/>
  <c r="D48" i="1"/>
  <c r="D35" i="1"/>
  <c r="H35" i="1" s="1"/>
  <c r="G41" i="1"/>
  <c r="G49" i="1" s="1"/>
  <c r="G22" i="1"/>
  <c r="H19" i="1"/>
  <c r="L31" i="1" l="1"/>
  <c r="H47" i="1"/>
  <c r="H43" i="1"/>
  <c r="H34" i="1"/>
  <c r="L32" i="1" s="1"/>
  <c r="H41" i="1"/>
  <c r="C36" i="1"/>
  <c r="H36" i="1" s="1"/>
  <c r="L17" i="1" s="1"/>
  <c r="L19" i="1" s="1"/>
  <c r="H27" i="1"/>
  <c r="L35" i="1" s="1"/>
  <c r="H22" i="1"/>
  <c r="C49" i="1"/>
  <c r="H49" i="1" s="1"/>
  <c r="L24" i="1" s="1"/>
  <c r="L26" i="1" s="1"/>
  <c r="N33" i="1"/>
  <c r="M33" i="1"/>
  <c r="H46" i="1"/>
  <c r="H30" i="1"/>
  <c r="L30" i="1" s="1"/>
  <c r="N32" i="1" l="1"/>
  <c r="M32" i="1"/>
  <c r="N35" i="1"/>
  <c r="M35" i="1"/>
  <c r="N30" i="1"/>
  <c r="M30" i="1"/>
  <c r="N31" i="1"/>
  <c r="M31" i="1"/>
  <c r="T15" i="1"/>
  <c r="T17" i="1"/>
  <c r="R17" i="1"/>
  <c r="T19" i="1"/>
  <c r="S17" i="1"/>
  <c r="S16" i="1"/>
  <c r="R15" i="1"/>
  <c r="Q15" i="1"/>
  <c r="P15" i="1"/>
  <c r="S21" i="1"/>
  <c r="Q19" i="1"/>
  <c r="Q18" i="1"/>
  <c r="P17" i="1"/>
  <c r="P16" i="1"/>
  <c r="R20" i="1"/>
  <c r="R16" i="1"/>
  <c r="T16" i="1"/>
  <c r="T20" i="1"/>
  <c r="P14" i="1"/>
  <c r="T14" i="1"/>
  <c r="R14" i="1"/>
  <c r="S19" i="1"/>
  <c r="S18" i="1"/>
  <c r="Q20" i="1"/>
  <c r="R18" i="1"/>
  <c r="P21" i="1"/>
  <c r="Q21" i="1"/>
  <c r="R21" i="1"/>
  <c r="R19" i="1"/>
  <c r="Q22" i="1"/>
  <c r="S20" i="1"/>
  <c r="R22" i="1"/>
  <c r="S15" i="1"/>
  <c r="S22" i="1"/>
  <c r="T22" i="1"/>
  <c r="T21" i="1"/>
  <c r="P22" i="1"/>
  <c r="Q14" i="1"/>
  <c r="P20" i="1"/>
  <c r="P18" i="1"/>
  <c r="U18" i="1" s="1"/>
  <c r="Q16" i="1"/>
  <c r="T18" i="1"/>
  <c r="P19" i="1"/>
  <c r="Q17" i="1"/>
  <c r="S14" i="1"/>
  <c r="U20" i="1" l="1"/>
  <c r="U16" i="1"/>
  <c r="U22" i="1"/>
  <c r="P23" i="1"/>
  <c r="U17" i="1"/>
  <c r="S23" i="1"/>
  <c r="Q23" i="1"/>
  <c r="U19" i="1"/>
  <c r="U14" i="1"/>
  <c r="R23" i="1"/>
  <c r="U21" i="1"/>
  <c r="T23" i="1"/>
  <c r="U15" i="1"/>
</calcChain>
</file>

<file path=xl/sharedStrings.xml><?xml version="1.0" encoding="utf-8"?>
<sst xmlns="http://schemas.openxmlformats.org/spreadsheetml/2006/main" count="316" uniqueCount="171">
  <si>
    <t>Milestones</t>
  </si>
  <si>
    <t>1a</t>
  </si>
  <si>
    <t>2a</t>
  </si>
  <si>
    <t>3a</t>
  </si>
  <si>
    <t>3b</t>
  </si>
  <si>
    <t>3c</t>
  </si>
  <si>
    <t>RICEFW Estimator</t>
  </si>
  <si>
    <t>Dev Type</t>
  </si>
  <si>
    <t>Complexity</t>
  </si>
  <si>
    <t>Functional Specification</t>
  </si>
  <si>
    <t>Functional Specification Review</t>
  </si>
  <si>
    <t>Technical Specification</t>
  </si>
  <si>
    <t>Technical Specification Review</t>
  </si>
  <si>
    <t>Code</t>
  </si>
  <si>
    <t>Code Unit Test</t>
  </si>
  <si>
    <t>Code Review</t>
  </si>
  <si>
    <t>Functnl Test &amp; Business Accptnce</t>
  </si>
  <si>
    <t>Total Technical Effort (Hours)</t>
  </si>
  <si>
    <t>Total Functional Effort (Hours)</t>
  </si>
  <si>
    <t>Total FRICE Effort (Hours)</t>
  </si>
  <si>
    <t>Reports - Embedded Analytics</t>
  </si>
  <si>
    <t>H</t>
  </si>
  <si>
    <t>M</t>
  </si>
  <si>
    <t>L</t>
  </si>
  <si>
    <t xml:space="preserve">Reports - BW/4HANA / BOBJ </t>
  </si>
  <si>
    <t>Interfaces</t>
  </si>
  <si>
    <t>Object Type</t>
  </si>
  <si>
    <t>Very High</t>
  </si>
  <si>
    <t>High</t>
  </si>
  <si>
    <t>Medium</t>
  </si>
  <si>
    <t>Low</t>
  </si>
  <si>
    <t>Very Low</t>
  </si>
  <si>
    <t>Total Type</t>
  </si>
  <si>
    <t>Very High Factor</t>
  </si>
  <si>
    <t>% Breakdown of FRICE-W Items</t>
  </si>
  <si>
    <t>Very Low Factor</t>
  </si>
  <si>
    <t>Type %</t>
  </si>
  <si>
    <t>Conversions</t>
  </si>
  <si>
    <t>Contingency Factor =</t>
  </si>
  <si>
    <t>Enhancements</t>
  </si>
  <si>
    <t>M-hrs Dev with Contingency</t>
  </si>
  <si>
    <t>Forms</t>
  </si>
  <si>
    <t>Months of Core Development</t>
  </si>
  <si>
    <t>Workflow</t>
  </si>
  <si>
    <t>FTEs / Mo during Core Development Period</t>
  </si>
  <si>
    <t>NWGW</t>
  </si>
  <si>
    <t>UI5 FIORI</t>
  </si>
  <si>
    <t>Total Complexity</t>
  </si>
  <si>
    <t>UI5 Fiori</t>
  </si>
  <si>
    <t>Workflows</t>
  </si>
  <si>
    <t>Complexity %</t>
  </si>
  <si>
    <t>M-hrs Functional Support inc Contingency</t>
  </si>
  <si>
    <t>Months of Functional Support</t>
  </si>
  <si>
    <t>Technical Hours</t>
  </si>
  <si>
    <t>Hour by Type</t>
  </si>
  <si>
    <t>FTEs / Mo Functional Support</t>
  </si>
  <si>
    <t>Tech Stream</t>
  </si>
  <si>
    <t>Hours</t>
  </si>
  <si>
    <t>Total Man Month</t>
  </si>
  <si>
    <t>FTE over Core Dev</t>
  </si>
  <si>
    <t>Conversion</t>
  </si>
  <si>
    <t>ABAP / SCP</t>
  </si>
  <si>
    <t>Fiori/NWGW</t>
  </si>
  <si>
    <t>Integration</t>
  </si>
  <si>
    <t>BW/4HANA  / BOBJ</t>
  </si>
  <si>
    <t>Embedded Analytics</t>
  </si>
  <si>
    <t>Hours by Complexity</t>
  </si>
  <si>
    <t>Functional Hours</t>
  </si>
  <si>
    <t>Object/s Names</t>
  </si>
  <si>
    <t>Type Of Object</t>
  </si>
  <si>
    <t>V. High</t>
  </si>
  <si>
    <t>Med</t>
  </si>
  <si>
    <t>V. Low</t>
  </si>
  <si>
    <t>Comments</t>
  </si>
  <si>
    <t>e.g.</t>
  </si>
  <si>
    <t>Standard RDM objects - Data</t>
  </si>
  <si>
    <t>Transactional Data</t>
  </si>
  <si>
    <t>Master Data</t>
  </si>
  <si>
    <t xml:space="preserve">Inventory Balances </t>
  </si>
  <si>
    <t xml:space="preserve">Secondary Cost Element </t>
  </si>
  <si>
    <t xml:space="preserve">Inspection Plan </t>
  </si>
  <si>
    <t xml:space="preserve">Source List </t>
  </si>
  <si>
    <t xml:space="preserve">Characteristic </t>
  </si>
  <si>
    <t xml:space="preserve">Bill of Materials </t>
  </si>
  <si>
    <t xml:space="preserve">Work Breakdown Structure </t>
  </si>
  <si>
    <t xml:space="preserve">Class </t>
  </si>
  <si>
    <t>Equipments</t>
  </si>
  <si>
    <t xml:space="preserve">Fixed Assets </t>
  </si>
  <si>
    <t xml:space="preserve">Activity Type </t>
  </si>
  <si>
    <t xml:space="preserve">Service Master </t>
  </si>
  <si>
    <t xml:space="preserve">Purchase Info Record </t>
  </si>
  <si>
    <t xml:space="preserve">Activity Price </t>
  </si>
  <si>
    <t xml:space="preserve">Object Dependency </t>
  </si>
  <si>
    <t xml:space="preserve">Planned Independent Requirements </t>
  </si>
  <si>
    <t xml:space="preserve">Cost Centers </t>
  </si>
  <si>
    <t xml:space="preserve">Material Customer Replenishment </t>
  </si>
  <si>
    <t xml:space="preserve">Order Reservations </t>
  </si>
  <si>
    <t xml:space="preserve">Profit Centers </t>
  </si>
  <si>
    <t xml:space="preserve">Reference Operation Sets </t>
  </si>
  <si>
    <t xml:space="preserve">Purchasing Requisition </t>
  </si>
  <si>
    <t xml:space="preserve">Bank Master </t>
  </si>
  <si>
    <t xml:space="preserve">Routing </t>
  </si>
  <si>
    <t xml:space="preserve">Contracts </t>
  </si>
  <si>
    <t xml:space="preserve">Exchange Rate </t>
  </si>
  <si>
    <t xml:space="preserve">SD Pricing </t>
  </si>
  <si>
    <t xml:space="preserve">Scheduling Agreements </t>
  </si>
  <si>
    <t xml:space="preserve">Work Center </t>
  </si>
  <si>
    <t xml:space="preserve">Functional Location </t>
  </si>
  <si>
    <t xml:space="preserve">Sales Order </t>
  </si>
  <si>
    <t xml:space="preserve">Material Master </t>
  </si>
  <si>
    <t xml:space="preserve">Cost Center Groups </t>
  </si>
  <si>
    <t xml:space="preserve">Purchase Order </t>
  </si>
  <si>
    <t xml:space="preserve">Material Master Classification </t>
  </si>
  <si>
    <t xml:space="preserve">Activity Type Groups </t>
  </si>
  <si>
    <t xml:space="preserve">Internal Order </t>
  </si>
  <si>
    <t xml:space="preserve">Configuration Profile for Material </t>
  </si>
  <si>
    <t xml:space="preserve">Profit Center Groups </t>
  </si>
  <si>
    <t xml:space="preserve">Open Deliveries </t>
  </si>
  <si>
    <t xml:space="preserve">Inspection Method </t>
  </si>
  <si>
    <t xml:space="preserve">Business Partner (CVI, Cust &amp; Vend) </t>
  </si>
  <si>
    <t xml:space="preserve">Supplier Invoice </t>
  </si>
  <si>
    <t xml:space="preserve">Material Inspection Type </t>
  </si>
  <si>
    <t xml:space="preserve">Statistical Key figures </t>
  </si>
  <si>
    <t xml:space="preserve">Credit Memo </t>
  </si>
  <si>
    <t xml:space="preserve">Material Inspection Characteristics </t>
  </si>
  <si>
    <t xml:space="preserve">Batch </t>
  </si>
  <si>
    <t xml:space="preserve">Customer Invoice Billing </t>
  </si>
  <si>
    <t>Tower 2</t>
  </si>
  <si>
    <t>Customer Role‑Name</t>
  </si>
  <si>
    <t>Type of FTE</t>
  </si>
  <si>
    <t>Destination Location</t>
  </si>
  <si>
    <t>HCL Role</t>
  </si>
  <si>
    <t>Total (Mo FTE)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</si>
  <si>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</si>
  <si>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</si>
  <si>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</si>
  <si>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</si>
  <si>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</si>
  <si>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</si>
  <si>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</si>
  <si>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</si>
  <si>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</si>
  <si>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</si>
  <si>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</si>
  <si>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</si>
  <si>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Phase‑1</t>
  </si>
  <si>
    <t>ABAP</t>
  </si>
  <si>
    <t>SAP ABAP Lead</t>
  </si>
  <si>
    <t>Offshore</t>
  </si>
  <si>
    <t>India Apps</t>
  </si>
  <si>
    <t>ABAP Sr Con</t>
  </si>
  <si>
    <t>ABAP Con</t>
  </si>
  <si>
    <t>Onsite</t>
  </si>
  <si>
    <t>Phase‑2</t>
  </si>
  <si>
    <t>Lead Consultant - Skill A</t>
  </si>
  <si>
    <t>Project Manager - HCL Owned - Skill A</t>
  </si>
  <si>
    <t>Technical Consultant - Senior - Skill A</t>
  </si>
  <si>
    <t>M13</t>
  </si>
  <si>
    <t>M14</t>
  </si>
  <si>
    <t>M15</t>
  </si>
  <si>
    <t>M16</t>
  </si>
  <si>
    <t>M17</t>
  </si>
  <si>
    <t>M18</t>
  </si>
  <si>
    <t>M19</t>
  </si>
  <si>
    <t>M20</t>
  </si>
  <si>
    <t>Tower 1</t>
  </si>
  <si>
    <t>Tower 3</t>
  </si>
  <si>
    <r>
      <t>Level</t>
    </r>
    <r>
      <rPr>
        <b/>
        <sz val="12"/>
        <color rgb="FFFF0000"/>
        <rFont val="Aptos Narrow"/>
        <family val="2"/>
        <scheme val="minor"/>
      </rPr>
      <t xml:space="preserve"> (DONOT HARDCODE)</t>
    </r>
  </si>
  <si>
    <t>L3</t>
  </si>
  <si>
    <t>L4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</si>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</sst>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26"/>
      <color theme="1"/>
      <name val="Aptos Narrow"/>
      <family val="2"/>
      <scheme val="minor"/>
    </font>
    <font>
      <b/>
      <sz val="10"/>
      <name val="Arial"/>
      <family val="2"/>
    </font>
    <font>
      <sz val="12"/>
      <color rgb="FFFFFF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</cellStyleXfs>
  <cellXfs count="86">
    <xf numFmtId="0" fontId="0" fillId="0" borderId="0" xfId="0"/>
    <xf numFmtId="0" fontId="4" fillId="0" borderId="0" xfId="2"/>
    <xf numFmtId="0" fontId="4" fillId="0" borderId="0" xfId="2" applyAlignment="1">
      <alignment horizontal="center"/>
    </xf>
    <xf numFmtId="0" fontId="6" fillId="3" borderId="2" xfId="3" applyFont="1" applyFill="1" applyBorder="1" applyAlignment="1">
      <alignment horizontal="center" wrapText="1"/>
    </xf>
    <xf numFmtId="0" fontId="7" fillId="3" borderId="2" xfId="3" applyFont="1" applyFill="1" applyBorder="1" applyAlignment="1">
      <alignment horizontal="center" wrapText="1"/>
    </xf>
    <xf numFmtId="0" fontId="8" fillId="0" borderId="0" xfId="2" applyFont="1"/>
    <xf numFmtId="0" fontId="6" fillId="4" borderId="2" xfId="3" applyFont="1" applyFill="1" applyBorder="1" applyAlignment="1">
      <alignment horizontal="center"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9" fillId="7" borderId="2" xfId="3" applyFont="1" applyFill="1" applyBorder="1" applyAlignment="1">
      <alignment horizontal="center" vertical="center" wrapText="1"/>
    </xf>
    <xf numFmtId="0" fontId="5" fillId="8" borderId="2" xfId="3" applyFill="1" applyBorder="1" applyAlignment="1">
      <alignment horizontal="center" vertical="center" wrapText="1"/>
    </xf>
    <xf numFmtId="0" fontId="5" fillId="9" borderId="2" xfId="2" applyFont="1" applyFill="1" applyBorder="1" applyAlignment="1">
      <alignment horizontal="center" vertical="center" wrapText="1"/>
    </xf>
    <xf numFmtId="1" fontId="7" fillId="5" borderId="2" xfId="3" applyNumberFormat="1" applyFont="1" applyFill="1" applyBorder="1" applyAlignment="1">
      <alignment horizontal="center" vertical="center" wrapText="1"/>
    </xf>
    <xf numFmtId="1" fontId="7" fillId="6" borderId="2" xfId="3" applyNumberFormat="1" applyFont="1" applyFill="1" applyBorder="1" applyAlignment="1">
      <alignment horizontal="center" vertical="center"/>
    </xf>
    <xf numFmtId="1" fontId="5" fillId="7" borderId="2" xfId="3" applyNumberFormat="1" applyFill="1" applyBorder="1" applyAlignment="1">
      <alignment horizontal="center" vertical="center" wrapText="1"/>
    </xf>
    <xf numFmtId="1" fontId="9" fillId="4" borderId="2" xfId="3" applyNumberFormat="1" applyFont="1" applyFill="1" applyBorder="1" applyAlignment="1">
      <alignment horizontal="center" vertical="center" wrapText="1"/>
    </xf>
    <xf numFmtId="1" fontId="9" fillId="10" borderId="2" xfId="3" applyNumberFormat="1" applyFont="1" applyFill="1" applyBorder="1" applyAlignment="1">
      <alignment horizontal="center" vertical="center" wrapText="1"/>
    </xf>
    <xf numFmtId="0" fontId="10" fillId="0" borderId="0" xfId="2" applyFont="1"/>
    <xf numFmtId="0" fontId="11" fillId="4" borderId="2" xfId="2" applyFont="1" applyFill="1" applyBorder="1"/>
    <xf numFmtId="0" fontId="10" fillId="4" borderId="2" xfId="2" applyFont="1" applyFill="1" applyBorder="1" applyAlignment="1">
      <alignment horizontal="center"/>
    </xf>
    <xf numFmtId="0" fontId="12" fillId="8" borderId="2" xfId="2" applyFont="1" applyFill="1" applyBorder="1" applyAlignment="1">
      <alignment horizontal="center"/>
    </xf>
    <xf numFmtId="0" fontId="4" fillId="11" borderId="2" xfId="2" applyFill="1" applyBorder="1" applyProtection="1">
      <protection locked="0"/>
    </xf>
    <xf numFmtId="0" fontId="4" fillId="0" borderId="0" xfId="2" applyProtection="1">
      <protection locked="0"/>
    </xf>
    <xf numFmtId="0" fontId="14" fillId="4" borderId="2" xfId="2" applyFont="1" applyFill="1" applyBorder="1"/>
    <xf numFmtId="0" fontId="4" fillId="10" borderId="2" xfId="2" applyFill="1" applyBorder="1" applyAlignment="1">
      <alignment horizontal="center"/>
    </xf>
    <xf numFmtId="0" fontId="14" fillId="4" borderId="2" xfId="2" applyFont="1" applyFill="1" applyBorder="1" applyAlignment="1">
      <alignment horizontal="center"/>
    </xf>
    <xf numFmtId="0" fontId="15" fillId="4" borderId="2" xfId="2" applyFont="1" applyFill="1" applyBorder="1"/>
    <xf numFmtId="0" fontId="13" fillId="4" borderId="2" xfId="2" applyFont="1" applyFill="1" applyBorder="1" applyAlignment="1">
      <alignment horizontal="center"/>
    </xf>
    <xf numFmtId="9" fontId="4" fillId="10" borderId="2" xfId="1" applyFont="1" applyFill="1" applyBorder="1" applyAlignment="1">
      <alignment horizontal="center"/>
    </xf>
    <xf numFmtId="9" fontId="14" fillId="4" borderId="2" xfId="1" applyFont="1" applyFill="1" applyBorder="1" applyAlignment="1">
      <alignment horizontal="center"/>
    </xf>
    <xf numFmtId="0" fontId="9" fillId="12" borderId="2" xfId="3" applyFont="1" applyFill="1" applyBorder="1"/>
    <xf numFmtId="9" fontId="0" fillId="11" borderId="2" xfId="4" applyFont="1" applyFill="1" applyBorder="1" applyProtection="1">
      <protection locked="0"/>
    </xf>
    <xf numFmtId="9" fontId="0" fillId="0" borderId="0" xfId="4" applyFont="1" applyProtection="1">
      <protection locked="0"/>
    </xf>
    <xf numFmtId="0" fontId="5" fillId="13" borderId="2" xfId="3" applyFill="1" applyBorder="1"/>
    <xf numFmtId="1" fontId="9" fillId="14" borderId="2" xfId="3" applyNumberFormat="1" applyFont="1" applyFill="1" applyBorder="1"/>
    <xf numFmtId="0" fontId="5" fillId="0" borderId="0" xfId="3"/>
    <xf numFmtId="1" fontId="5" fillId="11" borderId="2" xfId="3" applyNumberFormat="1" applyFill="1" applyBorder="1" applyProtection="1">
      <protection locked="0"/>
    </xf>
    <xf numFmtId="0" fontId="16" fillId="10" borderId="2" xfId="2" applyFont="1" applyFill="1" applyBorder="1" applyAlignment="1">
      <alignment horizontal="center"/>
    </xf>
    <xf numFmtId="0" fontId="11" fillId="4" borderId="2" xfId="2" applyFont="1" applyFill="1" applyBorder="1" applyAlignment="1">
      <alignment horizontal="center"/>
    </xf>
    <xf numFmtId="9" fontId="16" fillId="10" borderId="2" xfId="1" applyFont="1" applyFill="1" applyBorder="1" applyAlignment="1">
      <alignment horizontal="center"/>
    </xf>
    <xf numFmtId="9" fontId="17" fillId="4" borderId="2" xfId="1" applyFont="1" applyFill="1" applyBorder="1" applyAlignment="1">
      <alignment horizontal="center"/>
    </xf>
    <xf numFmtId="9" fontId="15" fillId="4" borderId="2" xfId="1" applyFont="1" applyFill="1" applyBorder="1" applyAlignment="1">
      <alignment horizontal="center"/>
    </xf>
    <xf numFmtId="0" fontId="13" fillId="0" borderId="0" xfId="2" applyFont="1"/>
    <xf numFmtId="0" fontId="4" fillId="8" borderId="2" xfId="2" applyFill="1" applyBorder="1"/>
    <xf numFmtId="0" fontId="4" fillId="8" borderId="2" xfId="2" applyFill="1" applyBorder="1" applyAlignment="1">
      <alignment horizontal="center"/>
    </xf>
    <xf numFmtId="164" fontId="4" fillId="8" borderId="2" xfId="2" applyNumberFormat="1" applyFill="1" applyBorder="1" applyAlignment="1">
      <alignment horizontal="center"/>
    </xf>
    <xf numFmtId="0" fontId="17" fillId="4" borderId="2" xfId="2" applyFont="1" applyFill="1" applyBorder="1" applyAlignment="1">
      <alignment horizontal="center"/>
    </xf>
    <xf numFmtId="0" fontId="15" fillId="4" borderId="2" xfId="2" applyFont="1" applyFill="1" applyBorder="1" applyAlignment="1">
      <alignment horizontal="center"/>
    </xf>
    <xf numFmtId="0" fontId="1" fillId="0" borderId="0" xfId="5"/>
    <xf numFmtId="0" fontId="1" fillId="0" borderId="0" xfId="5" applyAlignment="1">
      <alignment horizontal="center"/>
    </xf>
    <xf numFmtId="0" fontId="2" fillId="15" borderId="2" xfId="5" applyFont="1" applyFill="1" applyBorder="1" applyAlignment="1">
      <alignment horizontal="center"/>
    </xf>
    <xf numFmtId="0" fontId="1" fillId="11" borderId="2" xfId="5" applyFill="1" applyBorder="1" applyProtection="1">
      <protection locked="0"/>
    </xf>
    <xf numFmtId="0" fontId="1" fillId="11" borderId="2" xfId="5" applyFill="1" applyBorder="1" applyAlignment="1" applyProtection="1">
      <alignment horizontal="center"/>
      <protection locked="0"/>
    </xf>
    <xf numFmtId="0" fontId="3" fillId="4" borderId="8" xfId="5" applyFont="1" applyFill="1" applyBorder="1" applyAlignment="1">
      <alignment horizontal="center"/>
    </xf>
    <xf numFmtId="0" fontId="3" fillId="4" borderId="6" xfId="5" applyFont="1" applyFill="1" applyBorder="1" applyAlignment="1">
      <alignment horizontal="center"/>
    </xf>
    <xf numFmtId="0" fontId="3" fillId="4" borderId="2" xfId="5" applyFont="1" applyFill="1" applyBorder="1"/>
    <xf numFmtId="0" fontId="3" fillId="4" borderId="3" xfId="5" applyFont="1" applyFill="1" applyBorder="1" applyAlignment="1">
      <alignment horizontal="center"/>
    </xf>
    <xf numFmtId="0" fontId="3" fillId="4" borderId="5" xfId="5" applyFont="1" applyFill="1" applyBorder="1" applyAlignment="1">
      <alignment horizontal="center"/>
    </xf>
    <xf numFmtId="0" fontId="1" fillId="10" borderId="2" xfId="5" applyFill="1" applyBorder="1"/>
    <xf numFmtId="0" fontId="4" fillId="0" borderId="2" xfId="6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Protection="1">
      <protection locked="0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right" vertical="center"/>
    </xf>
    <xf numFmtId="0" fontId="19" fillId="0" borderId="2" xfId="0" applyFont="1" applyBorder="1" applyAlignment="1">
      <alignment vertical="center"/>
    </xf>
    <xf numFmtId="0" fontId="4" fillId="0" borderId="2" xfId="0" quotePrefix="1" applyFont="1" applyBorder="1" applyAlignment="1" applyProtection="1">
      <alignment wrapText="1"/>
      <protection locked="0"/>
    </xf>
    <xf numFmtId="0" fontId="0" fillId="0" borderId="2" xfId="0" applyBorder="1"/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4" fillId="0" borderId="2" xfId="0" quotePrefix="1" applyFont="1" applyBorder="1" applyAlignment="1" applyProtection="1">
      <alignment horizontal="center" wrapText="1"/>
      <protection locked="0"/>
    </xf>
    <xf numFmtId="0" fontId="3" fillId="4" borderId="3" xfId="5" applyFont="1" applyFill="1" applyBorder="1" applyAlignment="1">
      <alignment horizontal="center"/>
    </xf>
    <xf numFmtId="0" fontId="3" fillId="4" borderId="5" xfId="5" applyFont="1" applyFill="1" applyBorder="1" applyAlignment="1">
      <alignment horizontal="center"/>
    </xf>
    <xf numFmtId="0" fontId="1" fillId="11" borderId="7" xfId="5" applyFill="1" applyBorder="1" applyAlignment="1" applyProtection="1">
      <alignment horizontal="center"/>
      <protection locked="0"/>
    </xf>
    <xf numFmtId="0" fontId="1" fillId="11" borderId="0" xfId="5" applyFill="1" applyAlignment="1" applyProtection="1">
      <alignment horizontal="center"/>
      <protection locked="0"/>
    </xf>
    <xf numFmtId="0" fontId="6" fillId="2" borderId="1" xfId="3" applyFont="1" applyFill="1" applyBorder="1" applyAlignment="1">
      <alignment horizontal="center" vertical="center" wrapText="1"/>
    </xf>
    <xf numFmtId="0" fontId="11" fillId="4" borderId="3" xfId="2" applyFont="1" applyFill="1" applyBorder="1" applyAlignment="1">
      <alignment horizontal="center"/>
    </xf>
    <xf numFmtId="0" fontId="11" fillId="4" borderId="4" xfId="2" applyFont="1" applyFill="1" applyBorder="1" applyAlignment="1">
      <alignment horizontal="center"/>
    </xf>
    <xf numFmtId="0" fontId="11" fillId="4" borderId="5" xfId="2" applyFont="1" applyFill="1" applyBorder="1" applyAlignment="1">
      <alignment horizontal="center"/>
    </xf>
    <xf numFmtId="0" fontId="13" fillId="10" borderId="6" xfId="2" applyFont="1" applyFill="1" applyBorder="1" applyAlignment="1">
      <alignment horizontal="center"/>
    </xf>
    <xf numFmtId="0" fontId="15" fillId="4" borderId="3" xfId="2" applyFont="1" applyFill="1" applyBorder="1" applyAlignment="1">
      <alignment horizontal="center"/>
    </xf>
    <xf numFmtId="0" fontId="15" fillId="4" borderId="4" xfId="2" applyFont="1" applyFill="1" applyBorder="1" applyAlignment="1">
      <alignment horizontal="center"/>
    </xf>
    <xf numFmtId="0" fontId="15" fillId="4" borderId="5" xfId="2" applyFont="1" applyFill="1" applyBorder="1" applyAlignment="1">
      <alignment horizontal="center"/>
    </xf>
    <xf numFmtId="0" fontId="2" fillId="15" borderId="3" xfId="5" applyFont="1" applyFill="1" applyBorder="1" applyAlignment="1">
      <alignment horizontal="center"/>
    </xf>
    <xf numFmtId="0" fontId="2" fillId="15" borderId="4" xfId="5" applyFont="1" applyFill="1" applyBorder="1" applyAlignment="1">
      <alignment horizontal="center"/>
    </xf>
    <xf numFmtId="0" fontId="2" fillId="15" borderId="5" xfId="5" applyFont="1" applyFill="1" applyBorder="1" applyAlignment="1">
      <alignment horizontal="center"/>
    </xf>
    <xf numFmtId="0" fontId="2" fillId="15" borderId="7" xfId="5" applyFont="1" applyFill="1" applyBorder="1" applyAlignment="1">
      <alignment horizontal="center"/>
    </xf>
    <xf numFmtId="0" fontId="2" fillId="15" borderId="0" xfId="5" applyFont="1" applyFill="1" applyAlignment="1">
      <alignment horizontal="center"/>
    </xf>
  </cellXfs>
  <cellStyles count="7">
    <cellStyle name="Normal" xfId="0" builtinId="0"/>
    <cellStyle name="Normal 2" xfId="6" xr:uid="{8CF71C37-AACB-40A0-A116-ED5732F67883}"/>
    <cellStyle name="Normal 2 2 2" xfId="3" xr:uid="{E3DF6F44-AE59-4D8C-A2AB-FF8D276580D8}"/>
    <cellStyle name="Normal 3" xfId="2" xr:uid="{29B0DFA9-D65A-44BA-820B-7651065E2BE8}"/>
    <cellStyle name="Normal 3 2" xfId="5" xr:uid="{7B7AB393-20A3-4A63-ACBB-A34546C2D3BA}"/>
    <cellStyle name="Percent" xfId="1" builtinId="5"/>
    <cellStyle name="Percent 2" xfId="4" xr:uid="{273337E5-20D0-405B-AE54-892066C1D5F9}"/>
  </cellStyles>
  <dxfs count="5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0FF-8990-4F75-8670-4F3CBE284993}">
  <dimension ref="A1:AJ150"/>
  <sheetViews>
    <sheetView workbookViewId="0">
      <selection activeCell="I36" sqref="I36"/>
    </sheetView>
  </sheetViews>
  <sheetFormatPr defaultColWidth="12.1796875" defaultRowHeight="16" x14ac:dyDescent="0.4"/>
  <cols>
    <col min="1" max="1" width="5.1796875" style="1" customWidth="1"/>
    <col min="2" max="2" width="30.81640625" style="1" bestFit="1" customWidth="1"/>
    <col min="3" max="7" width="12.1796875" style="1"/>
    <col min="8" max="8" width="14.54296875" style="1" customWidth="1"/>
    <col min="9" max="9" width="33.1796875" style="1" customWidth="1"/>
    <col min="10" max="10" width="7" style="1" customWidth="1"/>
    <col min="11" max="11" width="38.1796875" style="1" bestFit="1" customWidth="1"/>
    <col min="12" max="12" width="11" style="1" bestFit="1" customWidth="1"/>
    <col min="13" max="13" width="17.81640625" style="1" bestFit="1" customWidth="1"/>
    <col min="14" max="14" width="18.453125" style="1" bestFit="1" customWidth="1"/>
    <col min="15" max="15" width="29.81640625" style="2" customWidth="1"/>
    <col min="16" max="16" width="12.1796875" style="2"/>
    <col min="17" max="18" width="12.1796875" style="1"/>
    <col min="19" max="19" width="15.54296875" style="1" bestFit="1" customWidth="1"/>
    <col min="20" max="22" width="12.1796875" style="1"/>
    <col min="23" max="23" width="29.1796875" style="1" bestFit="1" customWidth="1"/>
    <col min="24" max="25" width="17.81640625" style="1" customWidth="1"/>
    <col min="26" max="26" width="21" style="1" customWidth="1"/>
    <col min="27" max="27" width="20" style="1" customWidth="1"/>
    <col min="28" max="28" width="22.453125" style="1" customWidth="1"/>
    <col min="29" max="32" width="17.81640625" style="1" customWidth="1"/>
    <col min="33" max="33" width="4.1796875" style="1" customWidth="1"/>
    <col min="34" max="36" width="17.81640625" style="1" customWidth="1"/>
    <col min="37" max="16384" width="12.1796875" style="1"/>
  </cols>
  <sheetData>
    <row r="1" spans="2:36" x14ac:dyDescent="0.4">
      <c r="Y1" s="73" t="s">
        <v>0</v>
      </c>
      <c r="Z1" s="73"/>
      <c r="AA1" s="73"/>
      <c r="AB1" s="73"/>
      <c r="AC1" s="73"/>
      <c r="AD1" s="73"/>
      <c r="AE1" s="73"/>
      <c r="AF1" s="73"/>
    </row>
    <row r="2" spans="2:36" x14ac:dyDescent="0.4">
      <c r="Y2" s="3">
        <v>1</v>
      </c>
      <c r="Z2" s="4" t="s">
        <v>1</v>
      </c>
      <c r="AA2" s="3">
        <v>2</v>
      </c>
      <c r="AB2" s="3" t="s">
        <v>2</v>
      </c>
      <c r="AC2" s="3">
        <v>3</v>
      </c>
      <c r="AD2" s="3" t="s">
        <v>3</v>
      </c>
      <c r="AE2" s="3" t="s">
        <v>4</v>
      </c>
      <c r="AF2" s="3" t="s">
        <v>5</v>
      </c>
    </row>
    <row r="3" spans="2:36" ht="31.4" customHeight="1" x14ac:dyDescent="0.8">
      <c r="B3" s="5" t="s">
        <v>6</v>
      </c>
      <c r="W3" s="6" t="s">
        <v>7</v>
      </c>
      <c r="X3" s="6" t="s">
        <v>8</v>
      </c>
      <c r="Y3" s="7" t="s">
        <v>9</v>
      </c>
      <c r="Z3" s="7" t="s">
        <v>10</v>
      </c>
      <c r="AA3" s="8" t="s">
        <v>11</v>
      </c>
      <c r="AB3" s="8" t="s">
        <v>12</v>
      </c>
      <c r="AC3" s="9" t="s">
        <v>13</v>
      </c>
      <c r="AD3" s="9" t="s">
        <v>14</v>
      </c>
      <c r="AE3" s="9" t="s">
        <v>15</v>
      </c>
      <c r="AF3" s="9" t="s">
        <v>16</v>
      </c>
      <c r="AG3" s="6"/>
      <c r="AH3" s="6" t="s">
        <v>17</v>
      </c>
      <c r="AI3" s="6" t="s">
        <v>18</v>
      </c>
      <c r="AJ3" s="9" t="s">
        <v>19</v>
      </c>
    </row>
    <row r="4" spans="2:36" x14ac:dyDescent="0.4">
      <c r="W4" s="10" t="s">
        <v>20</v>
      </c>
      <c r="X4" s="11" t="s">
        <v>21</v>
      </c>
      <c r="Y4" s="12">
        <v>48</v>
      </c>
      <c r="Z4" s="12">
        <v>16</v>
      </c>
      <c r="AA4" s="13">
        <v>24</v>
      </c>
      <c r="AB4" s="13">
        <v>16</v>
      </c>
      <c r="AC4" s="14">
        <v>80</v>
      </c>
      <c r="AD4" s="14">
        <v>32</v>
      </c>
      <c r="AE4" s="14">
        <v>16</v>
      </c>
      <c r="AF4" s="14">
        <v>16</v>
      </c>
      <c r="AG4" s="15"/>
      <c r="AH4" s="16">
        <f t="shared" ref="AH4:AH30" si="0">SUM(Z4:AE4)</f>
        <v>184</v>
      </c>
      <c r="AI4" s="16">
        <f t="shared" ref="AI4:AI30" si="1">Y4+AF4</f>
        <v>64</v>
      </c>
      <c r="AJ4" s="16">
        <f t="shared" ref="AJ4:AJ30" si="2">AH4+AI4</f>
        <v>248</v>
      </c>
    </row>
    <row r="5" spans="2:36" x14ac:dyDescent="0.4">
      <c r="W5" s="10" t="s">
        <v>20</v>
      </c>
      <c r="X5" s="11" t="s">
        <v>22</v>
      </c>
      <c r="Y5" s="12">
        <v>32</v>
      </c>
      <c r="Z5" s="12">
        <v>8</v>
      </c>
      <c r="AA5" s="13">
        <v>16</v>
      </c>
      <c r="AB5" s="13">
        <v>8</v>
      </c>
      <c r="AC5" s="14">
        <v>40</v>
      </c>
      <c r="AD5" s="14">
        <v>16</v>
      </c>
      <c r="AE5" s="14">
        <v>8</v>
      </c>
      <c r="AF5" s="14">
        <v>8</v>
      </c>
      <c r="AG5" s="15"/>
      <c r="AH5" s="16">
        <f t="shared" si="0"/>
        <v>96</v>
      </c>
      <c r="AI5" s="16">
        <f t="shared" si="1"/>
        <v>40</v>
      </c>
      <c r="AJ5" s="16">
        <f t="shared" si="2"/>
        <v>136</v>
      </c>
    </row>
    <row r="6" spans="2:36" x14ac:dyDescent="0.4">
      <c r="W6" s="10" t="s">
        <v>20</v>
      </c>
      <c r="X6" s="11" t="s">
        <v>23</v>
      </c>
      <c r="Y6" s="12">
        <v>16</v>
      </c>
      <c r="Z6" s="12">
        <v>4</v>
      </c>
      <c r="AA6" s="13">
        <v>8</v>
      </c>
      <c r="AB6" s="13">
        <v>4</v>
      </c>
      <c r="AC6" s="14">
        <v>24</v>
      </c>
      <c r="AD6" s="14">
        <v>8</v>
      </c>
      <c r="AE6" s="14">
        <v>4</v>
      </c>
      <c r="AF6" s="14">
        <v>4</v>
      </c>
      <c r="AG6" s="15"/>
      <c r="AH6" s="16">
        <f t="shared" si="0"/>
        <v>52</v>
      </c>
      <c r="AI6" s="16">
        <f t="shared" si="1"/>
        <v>20</v>
      </c>
      <c r="AJ6" s="16">
        <f t="shared" si="2"/>
        <v>72</v>
      </c>
    </row>
    <row r="7" spans="2:36" x14ac:dyDescent="0.4">
      <c r="W7" s="10" t="s">
        <v>24</v>
      </c>
      <c r="X7" s="11" t="s">
        <v>21</v>
      </c>
      <c r="Y7" s="12">
        <v>48</v>
      </c>
      <c r="Z7" s="12">
        <v>16</v>
      </c>
      <c r="AA7" s="13">
        <v>24</v>
      </c>
      <c r="AB7" s="13">
        <v>16</v>
      </c>
      <c r="AC7" s="14">
        <v>80</v>
      </c>
      <c r="AD7" s="14">
        <v>32</v>
      </c>
      <c r="AE7" s="14">
        <v>16</v>
      </c>
      <c r="AF7" s="14">
        <v>16</v>
      </c>
      <c r="AG7" s="15"/>
      <c r="AH7" s="16">
        <f t="shared" si="0"/>
        <v>184</v>
      </c>
      <c r="AI7" s="16">
        <f t="shared" si="1"/>
        <v>64</v>
      </c>
      <c r="AJ7" s="16">
        <f t="shared" si="2"/>
        <v>248</v>
      </c>
    </row>
    <row r="8" spans="2:36" x14ac:dyDescent="0.4">
      <c r="W8" s="10" t="s">
        <v>24</v>
      </c>
      <c r="X8" s="11" t="s">
        <v>22</v>
      </c>
      <c r="Y8" s="12">
        <v>32</v>
      </c>
      <c r="Z8" s="12">
        <v>8</v>
      </c>
      <c r="AA8" s="13">
        <v>16</v>
      </c>
      <c r="AB8" s="13">
        <v>8</v>
      </c>
      <c r="AC8" s="14">
        <v>40</v>
      </c>
      <c r="AD8" s="14">
        <v>16</v>
      </c>
      <c r="AE8" s="14">
        <v>8</v>
      </c>
      <c r="AF8" s="14">
        <v>8</v>
      </c>
      <c r="AG8" s="15"/>
      <c r="AH8" s="16">
        <f t="shared" si="0"/>
        <v>96</v>
      </c>
      <c r="AI8" s="16">
        <f t="shared" si="1"/>
        <v>40</v>
      </c>
      <c r="AJ8" s="16">
        <f t="shared" si="2"/>
        <v>136</v>
      </c>
    </row>
    <row r="9" spans="2:36" x14ac:dyDescent="0.4">
      <c r="W9" s="10" t="s">
        <v>24</v>
      </c>
      <c r="X9" s="11" t="s">
        <v>23</v>
      </c>
      <c r="Y9" s="12">
        <v>16</v>
      </c>
      <c r="Z9" s="12">
        <v>4</v>
      </c>
      <c r="AA9" s="13">
        <v>8</v>
      </c>
      <c r="AB9" s="13">
        <v>4</v>
      </c>
      <c r="AC9" s="14">
        <v>24</v>
      </c>
      <c r="AD9" s="14">
        <v>8</v>
      </c>
      <c r="AE9" s="14">
        <v>4</v>
      </c>
      <c r="AF9" s="14">
        <v>4</v>
      </c>
      <c r="AG9" s="15"/>
      <c r="AH9" s="16">
        <f t="shared" si="0"/>
        <v>52</v>
      </c>
      <c r="AI9" s="16">
        <f t="shared" si="1"/>
        <v>20</v>
      </c>
      <c r="AJ9" s="16">
        <f t="shared" si="2"/>
        <v>72</v>
      </c>
    </row>
    <row r="10" spans="2:36" x14ac:dyDescent="0.4">
      <c r="W10" s="10" t="s">
        <v>25</v>
      </c>
      <c r="X10" s="11" t="s">
        <v>21</v>
      </c>
      <c r="Y10" s="12">
        <v>56</v>
      </c>
      <c r="Z10" s="12">
        <v>16</v>
      </c>
      <c r="AA10" s="13">
        <v>56</v>
      </c>
      <c r="AB10" s="13">
        <v>16</v>
      </c>
      <c r="AC10" s="14">
        <v>200</v>
      </c>
      <c r="AD10" s="14">
        <v>40</v>
      </c>
      <c r="AE10" s="14">
        <v>20</v>
      </c>
      <c r="AF10" s="14">
        <v>20</v>
      </c>
      <c r="AG10" s="15"/>
      <c r="AH10" s="16">
        <f t="shared" si="0"/>
        <v>348</v>
      </c>
      <c r="AI10" s="16">
        <f t="shared" si="1"/>
        <v>76</v>
      </c>
      <c r="AJ10" s="16">
        <f t="shared" si="2"/>
        <v>424</v>
      </c>
    </row>
    <row r="11" spans="2:36" x14ac:dyDescent="0.4">
      <c r="B11" s="17"/>
      <c r="C11" s="74" t="s">
        <v>8</v>
      </c>
      <c r="D11" s="75"/>
      <c r="E11" s="75"/>
      <c r="F11" s="75"/>
      <c r="G11" s="76"/>
      <c r="H11" s="17"/>
      <c r="W11" s="10" t="s">
        <v>25</v>
      </c>
      <c r="X11" s="11" t="s">
        <v>22</v>
      </c>
      <c r="Y11" s="12">
        <v>40</v>
      </c>
      <c r="Z11" s="12">
        <v>8</v>
      </c>
      <c r="AA11" s="13">
        <v>40</v>
      </c>
      <c r="AB11" s="13">
        <v>8</v>
      </c>
      <c r="AC11" s="14">
        <v>120</v>
      </c>
      <c r="AD11" s="14">
        <v>24</v>
      </c>
      <c r="AE11" s="14">
        <v>12</v>
      </c>
      <c r="AF11" s="14">
        <v>12</v>
      </c>
      <c r="AG11" s="15"/>
      <c r="AH11" s="16">
        <f t="shared" si="0"/>
        <v>212</v>
      </c>
      <c r="AI11" s="16">
        <f t="shared" si="1"/>
        <v>52</v>
      </c>
      <c r="AJ11" s="16">
        <f t="shared" si="2"/>
        <v>264</v>
      </c>
    </row>
    <row r="12" spans="2:36" ht="17.149999999999999" customHeight="1" x14ac:dyDescent="0.4">
      <c r="B12" s="18" t="s">
        <v>26</v>
      </c>
      <c r="C12" s="19" t="s">
        <v>27</v>
      </c>
      <c r="D12" s="19" t="s">
        <v>28</v>
      </c>
      <c r="E12" s="19" t="s">
        <v>29</v>
      </c>
      <c r="F12" s="19" t="s">
        <v>30</v>
      </c>
      <c r="G12" s="19" t="s">
        <v>31</v>
      </c>
      <c r="H12" s="18" t="s">
        <v>32</v>
      </c>
      <c r="K12" s="20" t="s">
        <v>33</v>
      </c>
      <c r="L12" s="21">
        <v>2</v>
      </c>
      <c r="M12" s="22"/>
      <c r="O12" s="77" t="s">
        <v>34</v>
      </c>
      <c r="P12" s="77"/>
      <c r="Q12" s="77"/>
      <c r="R12" s="77"/>
      <c r="S12" s="77"/>
      <c r="T12" s="77"/>
      <c r="U12" s="77"/>
      <c r="W12" s="10" t="s">
        <v>25</v>
      </c>
      <c r="X12" s="11" t="s">
        <v>23</v>
      </c>
      <c r="Y12" s="12">
        <v>24</v>
      </c>
      <c r="Z12" s="12">
        <v>4</v>
      </c>
      <c r="AA12" s="13">
        <v>24</v>
      </c>
      <c r="AB12" s="13">
        <v>4</v>
      </c>
      <c r="AC12" s="14">
        <v>64</v>
      </c>
      <c r="AD12" s="14">
        <v>16</v>
      </c>
      <c r="AE12" s="14">
        <v>8</v>
      </c>
      <c r="AF12" s="14">
        <v>8</v>
      </c>
      <c r="AG12" s="15"/>
      <c r="AH12" s="16">
        <f t="shared" si="0"/>
        <v>120</v>
      </c>
      <c r="AI12" s="16">
        <f t="shared" si="1"/>
        <v>32</v>
      </c>
      <c r="AJ12" s="16">
        <f t="shared" si="2"/>
        <v>152</v>
      </c>
    </row>
    <row r="13" spans="2:36" x14ac:dyDescent="0.4">
      <c r="B13" s="23" t="s">
        <v>20</v>
      </c>
      <c r="C13" s="24">
        <f>SUMIF($B$55:$B$150,B13,$C$55:C$150)</f>
        <v>0</v>
      </c>
      <c r="D13" s="24">
        <f t="shared" ref="D13:D21" si="3">SUMIF($B$55:$B$150,B13,$D$55:$D$150)</f>
        <v>0</v>
      </c>
      <c r="E13" s="24">
        <f t="shared" ref="E13:E21" si="4">SUMIF($B$55:$B$150,B13,$E$55:$E$150)</f>
        <v>0</v>
      </c>
      <c r="F13" s="24">
        <f t="shared" ref="F13:F21" si="5">SUMIF($B$55:$B$150,B13,$F$55:$F$150)</f>
        <v>0</v>
      </c>
      <c r="G13" s="24">
        <f t="shared" ref="G13:G21" si="6">SUMIF($B$55:$B$150,B13,$G$55:$G$150)</f>
        <v>0</v>
      </c>
      <c r="H13" s="25">
        <f t="shared" ref="H13:H22" si="7">SUM(C13:G13)</f>
        <v>0</v>
      </c>
      <c r="K13" s="20" t="s">
        <v>35</v>
      </c>
      <c r="L13" s="21">
        <v>0.75</v>
      </c>
      <c r="M13" s="22"/>
      <c r="O13" s="26" t="s">
        <v>26</v>
      </c>
      <c r="P13" s="27" t="s">
        <v>27</v>
      </c>
      <c r="Q13" s="27" t="s">
        <v>28</v>
      </c>
      <c r="R13" s="27" t="s">
        <v>29</v>
      </c>
      <c r="S13" s="27" t="s">
        <v>30</v>
      </c>
      <c r="T13" s="27" t="s">
        <v>31</v>
      </c>
      <c r="U13" s="26" t="s">
        <v>36</v>
      </c>
      <c r="W13" s="10" t="s">
        <v>37</v>
      </c>
      <c r="X13" s="11" t="s">
        <v>21</v>
      </c>
      <c r="Y13" s="12">
        <v>56</v>
      </c>
      <c r="Z13" s="12">
        <v>16</v>
      </c>
      <c r="AA13" s="13">
        <v>56</v>
      </c>
      <c r="AB13" s="13">
        <v>16</v>
      </c>
      <c r="AC13" s="14">
        <v>160</v>
      </c>
      <c r="AD13" s="14">
        <v>32</v>
      </c>
      <c r="AE13" s="14">
        <v>16</v>
      </c>
      <c r="AF13" s="14">
        <v>16</v>
      </c>
      <c r="AG13" s="15"/>
      <c r="AH13" s="16">
        <f t="shared" si="0"/>
        <v>296</v>
      </c>
      <c r="AI13" s="16">
        <f t="shared" si="1"/>
        <v>72</v>
      </c>
      <c r="AJ13" s="16">
        <f t="shared" si="2"/>
        <v>368</v>
      </c>
    </row>
    <row r="14" spans="2:36" ht="16" customHeight="1" x14ac:dyDescent="0.4">
      <c r="B14" s="23" t="s">
        <v>24</v>
      </c>
      <c r="C14" s="24">
        <f>SUMIF($B$55:$B$150,B14,$C$55:C$150)</f>
        <v>0</v>
      </c>
      <c r="D14" s="24">
        <f t="shared" si="3"/>
        <v>5</v>
      </c>
      <c r="E14" s="24">
        <f t="shared" si="4"/>
        <v>10</v>
      </c>
      <c r="F14" s="24">
        <f t="shared" si="5"/>
        <v>4</v>
      </c>
      <c r="G14" s="24">
        <f t="shared" si="6"/>
        <v>0</v>
      </c>
      <c r="H14" s="25">
        <f t="shared" si="7"/>
        <v>19</v>
      </c>
      <c r="O14" s="23" t="s">
        <v>20</v>
      </c>
      <c r="P14" s="28">
        <f>C17/$H$22</f>
        <v>0</v>
      </c>
      <c r="Q14" s="28">
        <f>D17/$H$22</f>
        <v>0.04</v>
      </c>
      <c r="R14" s="28">
        <f>E17/$H$22</f>
        <v>0.14000000000000001</v>
      </c>
      <c r="S14" s="28">
        <f>F17/$H$22</f>
        <v>0.04</v>
      </c>
      <c r="T14" s="28">
        <f>G17/$H$22</f>
        <v>0</v>
      </c>
      <c r="U14" s="29">
        <f>SUM(P14:T14)</f>
        <v>0.22000000000000003</v>
      </c>
      <c r="W14" s="10" t="s">
        <v>37</v>
      </c>
      <c r="X14" s="11" t="s">
        <v>22</v>
      </c>
      <c r="Y14" s="12">
        <v>40</v>
      </c>
      <c r="Z14" s="12">
        <v>8</v>
      </c>
      <c r="AA14" s="13">
        <v>32</v>
      </c>
      <c r="AB14" s="13">
        <v>8</v>
      </c>
      <c r="AC14" s="14">
        <v>96</v>
      </c>
      <c r="AD14" s="14">
        <v>16</v>
      </c>
      <c r="AE14" s="14">
        <v>8</v>
      </c>
      <c r="AF14" s="14">
        <v>8</v>
      </c>
      <c r="AG14" s="15"/>
      <c r="AH14" s="16">
        <f t="shared" si="0"/>
        <v>168</v>
      </c>
      <c r="AI14" s="16">
        <f t="shared" si="1"/>
        <v>48</v>
      </c>
      <c r="AJ14" s="16">
        <f t="shared" si="2"/>
        <v>216</v>
      </c>
    </row>
    <row r="15" spans="2:36" x14ac:dyDescent="0.4">
      <c r="B15" s="23" t="s">
        <v>25</v>
      </c>
      <c r="C15" s="24">
        <f>SUMIF($B$55:$B$150,B15,$C$55:C$150)</f>
        <v>0</v>
      </c>
      <c r="D15" s="24">
        <f t="shared" si="3"/>
        <v>4</v>
      </c>
      <c r="E15" s="24">
        <f t="shared" si="4"/>
        <v>10</v>
      </c>
      <c r="F15" s="24">
        <f t="shared" si="5"/>
        <v>4</v>
      </c>
      <c r="G15" s="24">
        <f t="shared" si="6"/>
        <v>0</v>
      </c>
      <c r="H15" s="25">
        <f t="shared" si="7"/>
        <v>18</v>
      </c>
      <c r="O15" s="23" t="s">
        <v>24</v>
      </c>
      <c r="P15" s="28">
        <f>C21/$H$22</f>
        <v>0</v>
      </c>
      <c r="Q15" s="28">
        <f>D21/$H$22</f>
        <v>0</v>
      </c>
      <c r="R15" s="28">
        <f>E21/$H$22</f>
        <v>0</v>
      </c>
      <c r="S15" s="28">
        <f>F21/$H$22</f>
        <v>0</v>
      </c>
      <c r="T15" s="28">
        <f>G21/$H$22</f>
        <v>0</v>
      </c>
      <c r="U15" s="29">
        <f>SUM(P15:T15)</f>
        <v>0</v>
      </c>
      <c r="W15" s="10" t="s">
        <v>37</v>
      </c>
      <c r="X15" s="11" t="s">
        <v>23</v>
      </c>
      <c r="Y15" s="12">
        <v>24</v>
      </c>
      <c r="Z15" s="12">
        <v>4</v>
      </c>
      <c r="AA15" s="13">
        <v>16</v>
      </c>
      <c r="AB15" s="13">
        <v>4</v>
      </c>
      <c r="AC15" s="14">
        <v>40</v>
      </c>
      <c r="AD15" s="14">
        <v>8</v>
      </c>
      <c r="AE15" s="14">
        <v>4</v>
      </c>
      <c r="AF15" s="14">
        <v>4</v>
      </c>
      <c r="AG15" s="15"/>
      <c r="AH15" s="16">
        <f t="shared" si="0"/>
        <v>76</v>
      </c>
      <c r="AI15" s="16">
        <f t="shared" si="1"/>
        <v>28</v>
      </c>
      <c r="AJ15" s="16">
        <f t="shared" si="2"/>
        <v>104</v>
      </c>
    </row>
    <row r="16" spans="2:36" x14ac:dyDescent="0.4">
      <c r="B16" s="23" t="s">
        <v>37</v>
      </c>
      <c r="C16" s="24">
        <f>SUMIF($B$55:$B$150,B16,$C$55:C$150)</f>
        <v>0</v>
      </c>
      <c r="D16" s="24">
        <f t="shared" si="3"/>
        <v>0</v>
      </c>
      <c r="E16" s="24">
        <f t="shared" si="4"/>
        <v>0</v>
      </c>
      <c r="F16" s="24">
        <f t="shared" si="5"/>
        <v>0</v>
      </c>
      <c r="G16" s="24">
        <f t="shared" si="6"/>
        <v>0</v>
      </c>
      <c r="H16" s="25">
        <f t="shared" si="7"/>
        <v>0</v>
      </c>
      <c r="K16" s="30" t="s">
        <v>38</v>
      </c>
      <c r="L16" s="31">
        <v>0</v>
      </c>
      <c r="M16" s="32"/>
      <c r="O16" s="23" t="s">
        <v>25</v>
      </c>
      <c r="P16" s="28">
        <f>C15/$H$22</f>
        <v>0</v>
      </c>
      <c r="Q16" s="28">
        <f>D15/$H$22</f>
        <v>0.04</v>
      </c>
      <c r="R16" s="28">
        <f>E15/$H$22</f>
        <v>0.1</v>
      </c>
      <c r="S16" s="28">
        <f>F15/$H$22</f>
        <v>0.04</v>
      </c>
      <c r="T16" s="28">
        <f>G15/$H$22</f>
        <v>0</v>
      </c>
      <c r="U16" s="29">
        <f>SUM(P16:T16)</f>
        <v>0.18000000000000002</v>
      </c>
      <c r="W16" s="10" t="s">
        <v>39</v>
      </c>
      <c r="X16" s="11" t="s">
        <v>21</v>
      </c>
      <c r="Y16" s="12">
        <v>48</v>
      </c>
      <c r="Z16" s="12">
        <v>16</v>
      </c>
      <c r="AA16" s="13">
        <v>24</v>
      </c>
      <c r="AB16" s="13">
        <v>16</v>
      </c>
      <c r="AC16" s="14">
        <v>80</v>
      </c>
      <c r="AD16" s="14">
        <v>32</v>
      </c>
      <c r="AE16" s="14">
        <v>16</v>
      </c>
      <c r="AF16" s="14">
        <v>16</v>
      </c>
      <c r="AG16" s="15"/>
      <c r="AH16" s="16">
        <f t="shared" si="0"/>
        <v>184</v>
      </c>
      <c r="AI16" s="16">
        <f t="shared" si="1"/>
        <v>64</v>
      </c>
      <c r="AJ16" s="16">
        <f t="shared" si="2"/>
        <v>248</v>
      </c>
    </row>
    <row r="17" spans="2:36" x14ac:dyDescent="0.4">
      <c r="B17" s="23" t="s">
        <v>39</v>
      </c>
      <c r="C17" s="24">
        <f>SUMIF($B$55:$B$150,B17,$C$55:C$150)</f>
        <v>0</v>
      </c>
      <c r="D17" s="24">
        <f t="shared" si="3"/>
        <v>4</v>
      </c>
      <c r="E17" s="24">
        <f t="shared" si="4"/>
        <v>14</v>
      </c>
      <c r="F17" s="24">
        <f t="shared" si="5"/>
        <v>4</v>
      </c>
      <c r="G17" s="24">
        <f t="shared" si="6"/>
        <v>0</v>
      </c>
      <c r="H17" s="25">
        <f t="shared" si="7"/>
        <v>22</v>
      </c>
      <c r="K17" s="33" t="s">
        <v>40</v>
      </c>
      <c r="L17" s="34">
        <f>(H36)+(H36*L16)</f>
        <v>13528</v>
      </c>
      <c r="M17" s="35"/>
      <c r="O17" s="23" t="s">
        <v>37</v>
      </c>
      <c r="P17" s="28">
        <f t="shared" ref="P17:T18" si="8">C13/$H$22</f>
        <v>0</v>
      </c>
      <c r="Q17" s="28">
        <f t="shared" si="8"/>
        <v>0</v>
      </c>
      <c r="R17" s="28">
        <f t="shared" si="8"/>
        <v>0</v>
      </c>
      <c r="S17" s="28">
        <f t="shared" si="8"/>
        <v>0</v>
      </c>
      <c r="T17" s="28">
        <f t="shared" si="8"/>
        <v>0</v>
      </c>
      <c r="U17" s="29">
        <f t="shared" ref="U17:U22" si="9">SUM(P17:T17)</f>
        <v>0</v>
      </c>
      <c r="W17" s="10" t="s">
        <v>39</v>
      </c>
      <c r="X17" s="11" t="s">
        <v>22</v>
      </c>
      <c r="Y17" s="12">
        <v>32</v>
      </c>
      <c r="Z17" s="12">
        <v>8</v>
      </c>
      <c r="AA17" s="13">
        <v>16</v>
      </c>
      <c r="AB17" s="13">
        <v>8</v>
      </c>
      <c r="AC17" s="14">
        <v>40</v>
      </c>
      <c r="AD17" s="14">
        <v>16</v>
      </c>
      <c r="AE17" s="14">
        <v>8</v>
      </c>
      <c r="AF17" s="14">
        <v>8</v>
      </c>
      <c r="AG17" s="15"/>
      <c r="AH17" s="16">
        <f t="shared" si="0"/>
        <v>96</v>
      </c>
      <c r="AI17" s="16">
        <f t="shared" si="1"/>
        <v>40</v>
      </c>
      <c r="AJ17" s="16">
        <f t="shared" si="2"/>
        <v>136</v>
      </c>
    </row>
    <row r="18" spans="2:36" x14ac:dyDescent="0.4">
      <c r="B18" s="23" t="s">
        <v>41</v>
      </c>
      <c r="C18" s="24">
        <f>SUMIF($B$55:$B$150,B18,$C$55:C$150)</f>
        <v>0</v>
      </c>
      <c r="D18" s="24">
        <f t="shared" si="3"/>
        <v>4</v>
      </c>
      <c r="E18" s="24">
        <f t="shared" si="4"/>
        <v>14</v>
      </c>
      <c r="F18" s="24">
        <f t="shared" si="5"/>
        <v>7</v>
      </c>
      <c r="G18" s="24">
        <f t="shared" si="6"/>
        <v>0</v>
      </c>
      <c r="H18" s="25">
        <f t="shared" si="7"/>
        <v>25</v>
      </c>
      <c r="K18" s="33" t="s">
        <v>42</v>
      </c>
      <c r="L18" s="36">
        <v>7</v>
      </c>
      <c r="M18" s="35"/>
      <c r="O18" s="23" t="s">
        <v>39</v>
      </c>
      <c r="P18" s="28">
        <f t="shared" si="8"/>
        <v>0</v>
      </c>
      <c r="Q18" s="28">
        <f t="shared" si="8"/>
        <v>0.05</v>
      </c>
      <c r="R18" s="28">
        <f t="shared" si="8"/>
        <v>0.1</v>
      </c>
      <c r="S18" s="28">
        <f t="shared" si="8"/>
        <v>0.04</v>
      </c>
      <c r="T18" s="28">
        <f t="shared" si="8"/>
        <v>0</v>
      </c>
      <c r="U18" s="29">
        <f t="shared" si="9"/>
        <v>0.19000000000000003</v>
      </c>
      <c r="W18" s="10" t="s">
        <v>39</v>
      </c>
      <c r="X18" s="11" t="s">
        <v>23</v>
      </c>
      <c r="Y18" s="12">
        <v>16</v>
      </c>
      <c r="Z18" s="12">
        <v>4</v>
      </c>
      <c r="AA18" s="13">
        <v>8</v>
      </c>
      <c r="AB18" s="13">
        <v>4</v>
      </c>
      <c r="AC18" s="14">
        <v>24</v>
      </c>
      <c r="AD18" s="14">
        <v>8</v>
      </c>
      <c r="AE18" s="14">
        <v>4</v>
      </c>
      <c r="AF18" s="14">
        <v>4</v>
      </c>
      <c r="AG18" s="15"/>
      <c r="AH18" s="16">
        <f t="shared" si="0"/>
        <v>52</v>
      </c>
      <c r="AI18" s="16">
        <f t="shared" si="1"/>
        <v>20</v>
      </c>
      <c r="AJ18" s="16">
        <f t="shared" si="2"/>
        <v>72</v>
      </c>
    </row>
    <row r="19" spans="2:36" x14ac:dyDescent="0.4">
      <c r="B19" s="23" t="s">
        <v>43</v>
      </c>
      <c r="C19" s="24">
        <f>SUMIF($B$55:$B$150,B19,$C$55:C$150)</f>
        <v>0</v>
      </c>
      <c r="D19" s="24">
        <f t="shared" si="3"/>
        <v>2</v>
      </c>
      <c r="E19" s="24">
        <f t="shared" si="4"/>
        <v>12</v>
      </c>
      <c r="F19" s="24">
        <f t="shared" si="5"/>
        <v>2</v>
      </c>
      <c r="G19" s="24">
        <f t="shared" si="6"/>
        <v>0</v>
      </c>
      <c r="H19" s="25">
        <f t="shared" si="7"/>
        <v>16</v>
      </c>
      <c r="K19" s="33" t="s">
        <v>44</v>
      </c>
      <c r="L19" s="34">
        <f>L17/(L18*160)</f>
        <v>12.078571428571429</v>
      </c>
      <c r="M19" s="35"/>
      <c r="O19" s="23" t="s">
        <v>41</v>
      </c>
      <c r="P19" s="28">
        <f>C16/$H$22</f>
        <v>0</v>
      </c>
      <c r="Q19" s="28">
        <f>D16/$H$22</f>
        <v>0</v>
      </c>
      <c r="R19" s="28">
        <f>E16/$H$22</f>
        <v>0</v>
      </c>
      <c r="S19" s="28">
        <f>F16/$H$22</f>
        <v>0</v>
      </c>
      <c r="T19" s="28">
        <f>G16/$H$22</f>
        <v>0</v>
      </c>
      <c r="U19" s="29">
        <f t="shared" si="9"/>
        <v>0</v>
      </c>
      <c r="W19" s="10" t="s">
        <v>41</v>
      </c>
      <c r="X19" s="11" t="s">
        <v>21</v>
      </c>
      <c r="Y19" s="12">
        <v>56</v>
      </c>
      <c r="Z19" s="12">
        <v>16</v>
      </c>
      <c r="AA19" s="13">
        <v>28</v>
      </c>
      <c r="AB19" s="13">
        <v>12</v>
      </c>
      <c r="AC19" s="14">
        <v>96</v>
      </c>
      <c r="AD19" s="14">
        <v>16</v>
      </c>
      <c r="AE19" s="14">
        <v>8</v>
      </c>
      <c r="AF19" s="14">
        <v>8</v>
      </c>
      <c r="AG19" s="15"/>
      <c r="AH19" s="16">
        <f t="shared" si="0"/>
        <v>176</v>
      </c>
      <c r="AI19" s="16">
        <f t="shared" si="1"/>
        <v>64</v>
      </c>
      <c r="AJ19" s="16">
        <f t="shared" si="2"/>
        <v>240</v>
      </c>
    </row>
    <row r="20" spans="2:36" x14ac:dyDescent="0.4">
      <c r="B20" s="23" t="s">
        <v>45</v>
      </c>
      <c r="C20" s="24">
        <f>SUMIF($B$55:$B$150,B20,$C$55:C$150)</f>
        <v>0</v>
      </c>
      <c r="D20" s="24">
        <f t="shared" si="3"/>
        <v>0</v>
      </c>
      <c r="E20" s="24">
        <f t="shared" si="4"/>
        <v>0</v>
      </c>
      <c r="F20" s="24">
        <f t="shared" si="5"/>
        <v>0</v>
      </c>
      <c r="G20" s="24">
        <f t="shared" si="6"/>
        <v>0</v>
      </c>
      <c r="H20" s="25">
        <f t="shared" si="7"/>
        <v>0</v>
      </c>
      <c r="O20" s="23" t="s">
        <v>43</v>
      </c>
      <c r="P20" s="28">
        <f t="shared" ref="P20:T22" si="10">C18/$H$22</f>
        <v>0</v>
      </c>
      <c r="Q20" s="28">
        <f t="shared" si="10"/>
        <v>0.04</v>
      </c>
      <c r="R20" s="28">
        <f t="shared" si="10"/>
        <v>0.14000000000000001</v>
      </c>
      <c r="S20" s="28">
        <f t="shared" si="10"/>
        <v>7.0000000000000007E-2</v>
      </c>
      <c r="T20" s="28">
        <f t="shared" si="10"/>
        <v>0</v>
      </c>
      <c r="U20" s="29">
        <f t="shared" si="9"/>
        <v>0.25</v>
      </c>
      <c r="W20" s="10" t="s">
        <v>41</v>
      </c>
      <c r="X20" s="11" t="s">
        <v>22</v>
      </c>
      <c r="Y20" s="12">
        <v>40</v>
      </c>
      <c r="Z20" s="12">
        <v>8</v>
      </c>
      <c r="AA20" s="13">
        <v>16</v>
      </c>
      <c r="AB20" s="13">
        <v>8</v>
      </c>
      <c r="AC20" s="14">
        <v>56</v>
      </c>
      <c r="AD20" s="14">
        <v>8</v>
      </c>
      <c r="AE20" s="14">
        <v>8</v>
      </c>
      <c r="AF20" s="14">
        <v>8</v>
      </c>
      <c r="AG20" s="15"/>
      <c r="AH20" s="16">
        <f t="shared" si="0"/>
        <v>104</v>
      </c>
      <c r="AI20" s="16">
        <f t="shared" si="1"/>
        <v>48</v>
      </c>
      <c r="AJ20" s="16">
        <f t="shared" si="2"/>
        <v>152</v>
      </c>
    </row>
    <row r="21" spans="2:36" x14ac:dyDescent="0.4">
      <c r="B21" s="23" t="s">
        <v>46</v>
      </c>
      <c r="C21" s="37">
        <f>SUMIF($B$55:$B$150,B21,$C$55:C$150)</f>
        <v>0</v>
      </c>
      <c r="D21" s="37">
        <f t="shared" si="3"/>
        <v>0</v>
      </c>
      <c r="E21" s="37">
        <f t="shared" si="4"/>
        <v>0</v>
      </c>
      <c r="F21" s="37">
        <f t="shared" si="5"/>
        <v>0</v>
      </c>
      <c r="G21" s="37">
        <f t="shared" si="6"/>
        <v>0</v>
      </c>
      <c r="H21" s="25">
        <f t="shared" si="7"/>
        <v>0</v>
      </c>
      <c r="O21" s="23" t="s">
        <v>45</v>
      </c>
      <c r="P21" s="28">
        <f t="shared" si="10"/>
        <v>0</v>
      </c>
      <c r="Q21" s="28">
        <f t="shared" si="10"/>
        <v>0.02</v>
      </c>
      <c r="R21" s="28">
        <f t="shared" si="10"/>
        <v>0.12</v>
      </c>
      <c r="S21" s="28">
        <f t="shared" si="10"/>
        <v>0.02</v>
      </c>
      <c r="T21" s="28">
        <f t="shared" si="10"/>
        <v>0</v>
      </c>
      <c r="U21" s="29">
        <f t="shared" si="9"/>
        <v>0.15999999999999998</v>
      </c>
      <c r="W21" s="10" t="s">
        <v>41</v>
      </c>
      <c r="X21" s="11" t="s">
        <v>23</v>
      </c>
      <c r="Y21" s="12">
        <v>24</v>
      </c>
      <c r="Z21" s="12">
        <v>4</v>
      </c>
      <c r="AA21" s="13">
        <v>8</v>
      </c>
      <c r="AB21" s="13">
        <v>4</v>
      </c>
      <c r="AC21" s="14">
        <v>24</v>
      </c>
      <c r="AD21" s="14">
        <v>8</v>
      </c>
      <c r="AE21" s="14">
        <v>4</v>
      </c>
      <c r="AF21" s="14">
        <v>4</v>
      </c>
      <c r="AG21" s="15"/>
      <c r="AH21" s="16">
        <f t="shared" si="0"/>
        <v>52</v>
      </c>
      <c r="AI21" s="16">
        <f t="shared" si="1"/>
        <v>28</v>
      </c>
      <c r="AJ21" s="16">
        <f t="shared" si="2"/>
        <v>80</v>
      </c>
    </row>
    <row r="22" spans="2:36" x14ac:dyDescent="0.4">
      <c r="B22" s="18" t="s">
        <v>47</v>
      </c>
      <c r="C22" s="38">
        <f>SUM(C13:C21)</f>
        <v>0</v>
      </c>
      <c r="D22" s="38">
        <f>SUM(D13:D21)</f>
        <v>19</v>
      </c>
      <c r="E22" s="38">
        <f>SUM(E13:E21)</f>
        <v>60</v>
      </c>
      <c r="F22" s="38">
        <f>SUM(F13:F21)</f>
        <v>21</v>
      </c>
      <c r="G22" s="38">
        <f>SUM(G13:G21)</f>
        <v>0</v>
      </c>
      <c r="H22" s="38">
        <f t="shared" si="7"/>
        <v>100</v>
      </c>
      <c r="O22" s="23" t="s">
        <v>48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40">
        <f t="shared" si="9"/>
        <v>0</v>
      </c>
      <c r="W22" s="10" t="s">
        <v>49</v>
      </c>
      <c r="X22" s="11" t="s">
        <v>21</v>
      </c>
      <c r="Y22" s="12">
        <v>48</v>
      </c>
      <c r="Z22" s="12">
        <v>16</v>
      </c>
      <c r="AA22" s="13">
        <v>48</v>
      </c>
      <c r="AB22" s="13">
        <v>16</v>
      </c>
      <c r="AC22" s="14">
        <v>160</v>
      </c>
      <c r="AD22" s="14">
        <v>32</v>
      </c>
      <c r="AE22" s="14">
        <v>16</v>
      </c>
      <c r="AF22" s="14">
        <v>16</v>
      </c>
      <c r="AG22" s="15"/>
      <c r="AH22" s="16">
        <f t="shared" si="0"/>
        <v>288</v>
      </c>
      <c r="AI22" s="16">
        <f t="shared" si="1"/>
        <v>64</v>
      </c>
      <c r="AJ22" s="16">
        <f t="shared" si="2"/>
        <v>352</v>
      </c>
    </row>
    <row r="23" spans="2:36" x14ac:dyDescent="0.4">
      <c r="K23" s="30" t="s">
        <v>38</v>
      </c>
      <c r="L23" s="31">
        <v>0</v>
      </c>
      <c r="M23" s="32"/>
      <c r="O23" s="26" t="s">
        <v>50</v>
      </c>
      <c r="P23" s="41">
        <f>SUM(P17:P22)</f>
        <v>0</v>
      </c>
      <c r="Q23" s="41">
        <f>SUM(Q17:Q22)</f>
        <v>0.11</v>
      </c>
      <c r="R23" s="41">
        <f>SUM(R17:R22)</f>
        <v>0.36</v>
      </c>
      <c r="S23" s="41">
        <f>SUM(S17:S22)</f>
        <v>0.13</v>
      </c>
      <c r="T23" s="41">
        <f>SUM(T17:T22)</f>
        <v>0</v>
      </c>
      <c r="U23" s="41"/>
      <c r="W23" s="10" t="s">
        <v>49</v>
      </c>
      <c r="X23" s="11" t="s">
        <v>22</v>
      </c>
      <c r="Y23" s="12">
        <v>32</v>
      </c>
      <c r="Z23" s="12">
        <v>8</v>
      </c>
      <c r="AA23" s="13">
        <v>32</v>
      </c>
      <c r="AB23" s="13">
        <v>8</v>
      </c>
      <c r="AC23" s="14">
        <v>80</v>
      </c>
      <c r="AD23" s="14">
        <v>20</v>
      </c>
      <c r="AE23" s="14">
        <v>10</v>
      </c>
      <c r="AF23" s="14">
        <v>10</v>
      </c>
      <c r="AG23" s="15"/>
      <c r="AH23" s="16">
        <f t="shared" si="0"/>
        <v>158</v>
      </c>
      <c r="AI23" s="16">
        <f t="shared" si="1"/>
        <v>42</v>
      </c>
      <c r="AJ23" s="16">
        <f t="shared" si="2"/>
        <v>200</v>
      </c>
    </row>
    <row r="24" spans="2:36" x14ac:dyDescent="0.4">
      <c r="K24" s="33" t="s">
        <v>51</v>
      </c>
      <c r="L24" s="34">
        <f>(H49)+(H49*L23)</f>
        <v>4448</v>
      </c>
      <c r="W24" s="10" t="s">
        <v>49</v>
      </c>
      <c r="X24" s="11" t="s">
        <v>23</v>
      </c>
      <c r="Y24" s="12">
        <v>16</v>
      </c>
      <c r="Z24" s="12">
        <v>4</v>
      </c>
      <c r="AA24" s="13">
        <v>16</v>
      </c>
      <c r="AB24" s="13">
        <v>4</v>
      </c>
      <c r="AC24" s="14">
        <v>40</v>
      </c>
      <c r="AD24" s="14">
        <v>12</v>
      </c>
      <c r="AE24" s="14">
        <v>6</v>
      </c>
      <c r="AF24" s="14">
        <v>6</v>
      </c>
      <c r="AG24" s="15"/>
      <c r="AH24" s="16">
        <f t="shared" si="0"/>
        <v>82</v>
      </c>
      <c r="AI24" s="16">
        <f t="shared" si="1"/>
        <v>22</v>
      </c>
      <c r="AJ24" s="16">
        <f t="shared" si="2"/>
        <v>104</v>
      </c>
    </row>
    <row r="25" spans="2:36" x14ac:dyDescent="0.4">
      <c r="B25" s="42"/>
      <c r="C25" s="78" t="s">
        <v>8</v>
      </c>
      <c r="D25" s="79"/>
      <c r="E25" s="79"/>
      <c r="F25" s="79"/>
      <c r="G25" s="80"/>
      <c r="H25" s="42"/>
      <c r="K25" s="33" t="s">
        <v>52</v>
      </c>
      <c r="L25" s="36">
        <v>2</v>
      </c>
      <c r="W25" s="10" t="s">
        <v>45</v>
      </c>
      <c r="X25" s="11" t="s">
        <v>21</v>
      </c>
      <c r="Y25" s="12">
        <v>48</v>
      </c>
      <c r="Z25" s="12">
        <v>16</v>
      </c>
      <c r="AA25" s="13">
        <v>48</v>
      </c>
      <c r="AB25" s="13">
        <v>16</v>
      </c>
      <c r="AC25" s="14">
        <v>160</v>
      </c>
      <c r="AD25" s="14">
        <v>32</v>
      </c>
      <c r="AE25" s="14">
        <v>16</v>
      </c>
      <c r="AF25" s="14">
        <v>16</v>
      </c>
      <c r="AG25" s="15"/>
      <c r="AH25" s="16">
        <f t="shared" si="0"/>
        <v>288</v>
      </c>
      <c r="AI25" s="16">
        <f t="shared" si="1"/>
        <v>64</v>
      </c>
      <c r="AJ25" s="16">
        <f t="shared" si="2"/>
        <v>352</v>
      </c>
    </row>
    <row r="26" spans="2:36" ht="16" customHeight="1" x14ac:dyDescent="0.4">
      <c r="B26" s="26" t="s">
        <v>53</v>
      </c>
      <c r="C26" s="27" t="s">
        <v>27</v>
      </c>
      <c r="D26" s="27" t="s">
        <v>28</v>
      </c>
      <c r="E26" s="27" t="s">
        <v>29</v>
      </c>
      <c r="F26" s="27" t="s">
        <v>30</v>
      </c>
      <c r="G26" s="27" t="s">
        <v>31</v>
      </c>
      <c r="H26" s="26" t="s">
        <v>54</v>
      </c>
      <c r="K26" s="33" t="s">
        <v>55</v>
      </c>
      <c r="L26" s="34">
        <f>L24/(L25*160)</f>
        <v>13.9</v>
      </c>
      <c r="W26" s="10" t="s">
        <v>45</v>
      </c>
      <c r="X26" s="11" t="s">
        <v>22</v>
      </c>
      <c r="Y26" s="12">
        <v>32</v>
      </c>
      <c r="Z26" s="12">
        <v>8</v>
      </c>
      <c r="AA26" s="13">
        <v>32</v>
      </c>
      <c r="AB26" s="13">
        <v>8</v>
      </c>
      <c r="AC26" s="14">
        <v>80</v>
      </c>
      <c r="AD26" s="14">
        <v>20</v>
      </c>
      <c r="AE26" s="14">
        <v>10</v>
      </c>
      <c r="AF26" s="14">
        <v>10</v>
      </c>
      <c r="AG26" s="15"/>
      <c r="AH26" s="16">
        <f t="shared" si="0"/>
        <v>158</v>
      </c>
      <c r="AI26" s="16">
        <f t="shared" si="1"/>
        <v>42</v>
      </c>
      <c r="AJ26" s="16">
        <f t="shared" si="2"/>
        <v>200</v>
      </c>
    </row>
    <row r="27" spans="2:36" x14ac:dyDescent="0.4">
      <c r="B27" s="23" t="s">
        <v>20</v>
      </c>
      <c r="C27" s="24">
        <f>C13*AH4*$L$12</f>
        <v>0</v>
      </c>
      <c r="D27" s="24">
        <f>D13*AH4</f>
        <v>0</v>
      </c>
      <c r="E27" s="24">
        <f>E13*AH5</f>
        <v>0</v>
      </c>
      <c r="F27" s="24">
        <f>F13*AH6</f>
        <v>0</v>
      </c>
      <c r="G27" s="24">
        <f>G13*AH6*$L$13</f>
        <v>0</v>
      </c>
      <c r="H27" s="25">
        <f t="shared" ref="H27:H36" si="11">SUM(C27:G27)</f>
        <v>0</v>
      </c>
      <c r="W27" s="10" t="s">
        <v>45</v>
      </c>
      <c r="X27" s="11" t="s">
        <v>23</v>
      </c>
      <c r="Y27" s="12">
        <v>16</v>
      </c>
      <c r="Z27" s="12">
        <v>4</v>
      </c>
      <c r="AA27" s="13">
        <v>16</v>
      </c>
      <c r="AB27" s="13">
        <v>4</v>
      </c>
      <c r="AC27" s="14">
        <v>40</v>
      </c>
      <c r="AD27" s="14">
        <v>12</v>
      </c>
      <c r="AE27" s="14">
        <v>6</v>
      </c>
      <c r="AF27" s="14">
        <v>6</v>
      </c>
      <c r="AG27" s="15"/>
      <c r="AH27" s="16">
        <f t="shared" si="0"/>
        <v>82</v>
      </c>
      <c r="AI27" s="16">
        <f t="shared" si="1"/>
        <v>22</v>
      </c>
      <c r="AJ27" s="16">
        <f t="shared" si="2"/>
        <v>104</v>
      </c>
    </row>
    <row r="28" spans="2:36" x14ac:dyDescent="0.4">
      <c r="B28" s="23" t="s">
        <v>24</v>
      </c>
      <c r="C28" s="24">
        <f>C14*AH7*$L$12</f>
        <v>0</v>
      </c>
      <c r="D28" s="24">
        <f>D14*AH7</f>
        <v>920</v>
      </c>
      <c r="E28" s="24">
        <f>E14*AH8</f>
        <v>960</v>
      </c>
      <c r="F28" s="24">
        <f>F14*AH9</f>
        <v>208</v>
      </c>
      <c r="G28" s="24">
        <f>G14*AH9*$L$13</f>
        <v>0</v>
      </c>
      <c r="H28" s="25">
        <f t="shared" si="11"/>
        <v>2088</v>
      </c>
      <c r="W28" s="10" t="s">
        <v>48</v>
      </c>
      <c r="X28" s="11" t="s">
        <v>21</v>
      </c>
      <c r="Y28" s="12">
        <v>96</v>
      </c>
      <c r="Z28" s="12">
        <v>16</v>
      </c>
      <c r="AA28" s="13">
        <v>96</v>
      </c>
      <c r="AB28" s="13">
        <v>16</v>
      </c>
      <c r="AC28" s="14">
        <v>240</v>
      </c>
      <c r="AD28" s="14">
        <v>48</v>
      </c>
      <c r="AE28" s="14">
        <v>24</v>
      </c>
      <c r="AF28" s="14">
        <v>24</v>
      </c>
      <c r="AG28" s="15"/>
      <c r="AH28" s="16">
        <f t="shared" si="0"/>
        <v>440</v>
      </c>
      <c r="AI28" s="16">
        <f t="shared" si="1"/>
        <v>120</v>
      </c>
      <c r="AJ28" s="16">
        <f t="shared" si="2"/>
        <v>560</v>
      </c>
    </row>
    <row r="29" spans="2:36" x14ac:dyDescent="0.4">
      <c r="B29" s="23" t="s">
        <v>25</v>
      </c>
      <c r="C29" s="24">
        <f>C15*AH10*$L$12</f>
        <v>0</v>
      </c>
      <c r="D29" s="24">
        <f>D15*AH10</f>
        <v>1392</v>
      </c>
      <c r="E29" s="24">
        <f>E15*AH11</f>
        <v>2120</v>
      </c>
      <c r="F29" s="24">
        <f>F15*AH12</f>
        <v>480</v>
      </c>
      <c r="G29" s="24">
        <f>G15*AH12*$L$13</f>
        <v>0</v>
      </c>
      <c r="H29" s="25">
        <f t="shared" si="11"/>
        <v>3992</v>
      </c>
      <c r="K29" s="25" t="s">
        <v>56</v>
      </c>
      <c r="L29" s="25" t="s">
        <v>57</v>
      </c>
      <c r="M29" s="25" t="s">
        <v>58</v>
      </c>
      <c r="N29" s="25" t="s">
        <v>59</v>
      </c>
      <c r="W29" s="10" t="s">
        <v>48</v>
      </c>
      <c r="X29" s="11" t="s">
        <v>22</v>
      </c>
      <c r="Y29" s="12">
        <v>64</v>
      </c>
      <c r="Z29" s="12">
        <v>8</v>
      </c>
      <c r="AA29" s="13">
        <v>64</v>
      </c>
      <c r="AB29" s="13">
        <v>8</v>
      </c>
      <c r="AC29" s="14">
        <v>120</v>
      </c>
      <c r="AD29" s="14">
        <v>32</v>
      </c>
      <c r="AE29" s="14">
        <v>16</v>
      </c>
      <c r="AF29" s="14">
        <v>16</v>
      </c>
      <c r="AG29" s="15"/>
      <c r="AH29" s="16">
        <f t="shared" si="0"/>
        <v>248</v>
      </c>
      <c r="AI29" s="16">
        <f t="shared" si="1"/>
        <v>80</v>
      </c>
      <c r="AJ29" s="16">
        <f t="shared" si="2"/>
        <v>328</v>
      </c>
    </row>
    <row r="30" spans="2:36" x14ac:dyDescent="0.4">
      <c r="B30" s="23" t="s">
        <v>37</v>
      </c>
      <c r="C30" s="24">
        <f>C16*AH13*$L$12</f>
        <v>0</v>
      </c>
      <c r="D30" s="24">
        <f>D16*AH13</f>
        <v>0</v>
      </c>
      <c r="E30" s="24">
        <f>E16*AH14</f>
        <v>0</v>
      </c>
      <c r="F30" s="24">
        <f>F16*AH15</f>
        <v>0</v>
      </c>
      <c r="G30" s="24">
        <f>G16*AH15*$L$13</f>
        <v>0</v>
      </c>
      <c r="H30" s="25">
        <f t="shared" si="11"/>
        <v>0</v>
      </c>
      <c r="K30" s="43" t="s">
        <v>60</v>
      </c>
      <c r="L30" s="44">
        <f>(SUM(H30))+((SUM(H30)*L16))</f>
        <v>0</v>
      </c>
      <c r="M30" s="44">
        <f t="shared" ref="M30:M35" si="12">L30/160</f>
        <v>0</v>
      </c>
      <c r="N30" s="45">
        <f t="shared" ref="N30:N35" si="13">L30/($L$18*160)</f>
        <v>0</v>
      </c>
      <c r="W30" s="10" t="s">
        <v>48</v>
      </c>
      <c r="X30" s="11" t="s">
        <v>23</v>
      </c>
      <c r="Y30" s="12">
        <v>32</v>
      </c>
      <c r="Z30" s="12">
        <v>4</v>
      </c>
      <c r="AA30" s="13">
        <v>32</v>
      </c>
      <c r="AB30" s="13">
        <v>4</v>
      </c>
      <c r="AC30" s="14">
        <v>56</v>
      </c>
      <c r="AD30" s="14">
        <v>16</v>
      </c>
      <c r="AE30" s="14">
        <v>8</v>
      </c>
      <c r="AF30" s="14">
        <v>8</v>
      </c>
      <c r="AG30" s="15"/>
      <c r="AH30" s="16">
        <f t="shared" si="0"/>
        <v>120</v>
      </c>
      <c r="AI30" s="16">
        <f t="shared" si="1"/>
        <v>40</v>
      </c>
      <c r="AJ30" s="16">
        <f t="shared" si="2"/>
        <v>160</v>
      </c>
    </row>
    <row r="31" spans="2:36" x14ac:dyDescent="0.4">
      <c r="B31" s="23" t="s">
        <v>39</v>
      </c>
      <c r="C31" s="24">
        <f>C17*AH16*$L$12</f>
        <v>0</v>
      </c>
      <c r="D31" s="24">
        <f>D17*AH16</f>
        <v>736</v>
      </c>
      <c r="E31" s="24">
        <f>E17*AH17</f>
        <v>1344</v>
      </c>
      <c r="F31" s="24">
        <f>F17*AH18</f>
        <v>208</v>
      </c>
      <c r="G31" s="24">
        <f>G17*AH18*$L$13</f>
        <v>0</v>
      </c>
      <c r="H31" s="25">
        <f t="shared" si="11"/>
        <v>2288</v>
      </c>
      <c r="K31" s="43" t="s">
        <v>61</v>
      </c>
      <c r="L31" s="44">
        <f>(H33+H31+H32)+((H33+H31+H32)*L16)</f>
        <v>7448</v>
      </c>
      <c r="M31" s="44">
        <f t="shared" si="12"/>
        <v>46.55</v>
      </c>
      <c r="N31" s="45">
        <f t="shared" si="13"/>
        <v>6.65</v>
      </c>
    </row>
    <row r="32" spans="2:36" x14ac:dyDescent="0.4">
      <c r="B32" s="23" t="s">
        <v>41</v>
      </c>
      <c r="C32" s="24">
        <f>C18*AH19*$L$12</f>
        <v>0</v>
      </c>
      <c r="D32" s="24">
        <f>D18*AH19</f>
        <v>704</v>
      </c>
      <c r="E32" s="24">
        <f>E18*AH20</f>
        <v>1456</v>
      </c>
      <c r="F32" s="24">
        <f>F18*AH21</f>
        <v>364</v>
      </c>
      <c r="G32" s="24">
        <f>G18*AH21*$L$13</f>
        <v>0</v>
      </c>
      <c r="H32" s="25">
        <f t="shared" si="11"/>
        <v>2524</v>
      </c>
      <c r="K32" s="43" t="s">
        <v>62</v>
      </c>
      <c r="L32" s="44">
        <f>(H35+H34)+((H35+H34)*L16)</f>
        <v>0</v>
      </c>
      <c r="M32" s="44">
        <f t="shared" si="12"/>
        <v>0</v>
      </c>
      <c r="N32" s="45">
        <f t="shared" si="13"/>
        <v>0</v>
      </c>
    </row>
    <row r="33" spans="2:14" x14ac:dyDescent="0.4">
      <c r="B33" s="23" t="s">
        <v>43</v>
      </c>
      <c r="C33" s="24">
        <f>C19*AH22*$L$12</f>
        <v>0</v>
      </c>
      <c r="D33" s="24">
        <f>D19*AH22</f>
        <v>576</v>
      </c>
      <c r="E33" s="24">
        <f>E19*AH23</f>
        <v>1896</v>
      </c>
      <c r="F33" s="24">
        <f>F19*AH24</f>
        <v>164</v>
      </c>
      <c r="G33" s="24">
        <f>G19*AH24*$L$13</f>
        <v>0</v>
      </c>
      <c r="H33" s="25">
        <f t="shared" si="11"/>
        <v>2636</v>
      </c>
      <c r="K33" s="43" t="s">
        <v>63</v>
      </c>
      <c r="L33" s="44">
        <f>(H29)+((H29)*L16)</f>
        <v>3992</v>
      </c>
      <c r="M33" s="44">
        <f t="shared" si="12"/>
        <v>24.95</v>
      </c>
      <c r="N33" s="45">
        <f t="shared" si="13"/>
        <v>3.5642857142857145</v>
      </c>
    </row>
    <row r="34" spans="2:14" x14ac:dyDescent="0.4">
      <c r="B34" s="23" t="s">
        <v>45</v>
      </c>
      <c r="C34" s="24">
        <f>C20*AH25*$L$12</f>
        <v>0</v>
      </c>
      <c r="D34" s="24">
        <f>D20*AH25</f>
        <v>0</v>
      </c>
      <c r="E34" s="24">
        <f>E20*AH26</f>
        <v>0</v>
      </c>
      <c r="F34" s="24">
        <f>F20*AH27</f>
        <v>0</v>
      </c>
      <c r="G34" s="24">
        <f>G20*AH27*$L$13</f>
        <v>0</v>
      </c>
      <c r="H34" s="25">
        <f t="shared" si="11"/>
        <v>0</v>
      </c>
      <c r="K34" s="43" t="s">
        <v>64</v>
      </c>
      <c r="L34" s="44">
        <f>(H28)+((H28)*L16)</f>
        <v>2088</v>
      </c>
      <c r="M34" s="44">
        <f t="shared" si="12"/>
        <v>13.05</v>
      </c>
      <c r="N34" s="45">
        <f t="shared" si="13"/>
        <v>1.8642857142857143</v>
      </c>
    </row>
    <row r="35" spans="2:14" x14ac:dyDescent="0.4">
      <c r="B35" s="23" t="s">
        <v>46</v>
      </c>
      <c r="C35" s="37">
        <f>C21*AH28*$L$12</f>
        <v>0</v>
      </c>
      <c r="D35" s="37">
        <f>D21*AH28</f>
        <v>0</v>
      </c>
      <c r="E35" s="37">
        <f>E21*AH29</f>
        <v>0</v>
      </c>
      <c r="F35" s="37">
        <f>F21*AH30</f>
        <v>0</v>
      </c>
      <c r="G35" s="37">
        <f>G21*AH30*$L$13</f>
        <v>0</v>
      </c>
      <c r="H35" s="46">
        <f t="shared" si="11"/>
        <v>0</v>
      </c>
      <c r="K35" s="43" t="s">
        <v>65</v>
      </c>
      <c r="L35" s="44">
        <f>(H27)+((H27)*L16)</f>
        <v>0</v>
      </c>
      <c r="M35" s="44">
        <f t="shared" si="12"/>
        <v>0</v>
      </c>
      <c r="N35" s="45">
        <f t="shared" si="13"/>
        <v>0</v>
      </c>
    </row>
    <row r="36" spans="2:14" x14ac:dyDescent="0.4">
      <c r="B36" s="26" t="s">
        <v>66</v>
      </c>
      <c r="C36" s="47">
        <f>SUM(C27:C35)</f>
        <v>0</v>
      </c>
      <c r="D36" s="47">
        <f>SUM(D27:D35)</f>
        <v>4328</v>
      </c>
      <c r="E36" s="47">
        <f>SUM(E27:E35)</f>
        <v>7776</v>
      </c>
      <c r="F36" s="47">
        <f>SUM(F27:F35)</f>
        <v>1424</v>
      </c>
      <c r="G36" s="47">
        <f>SUM(G27:G35)</f>
        <v>0</v>
      </c>
      <c r="H36" s="47">
        <f t="shared" si="11"/>
        <v>13528</v>
      </c>
      <c r="K36" s="35"/>
    </row>
    <row r="38" spans="2:14" x14ac:dyDescent="0.4">
      <c r="B38" s="42"/>
      <c r="C38" s="78" t="s">
        <v>8</v>
      </c>
      <c r="D38" s="79"/>
      <c r="E38" s="79"/>
      <c r="F38" s="79"/>
      <c r="G38" s="80"/>
      <c r="H38" s="42"/>
      <c r="K38" s="35"/>
    </row>
    <row r="39" spans="2:14" x14ac:dyDescent="0.4">
      <c r="B39" s="26" t="s">
        <v>67</v>
      </c>
      <c r="C39" s="27" t="s">
        <v>27</v>
      </c>
      <c r="D39" s="27" t="s">
        <v>28</v>
      </c>
      <c r="E39" s="27" t="s">
        <v>29</v>
      </c>
      <c r="F39" s="27" t="s">
        <v>30</v>
      </c>
      <c r="G39" s="27" t="s">
        <v>31</v>
      </c>
      <c r="H39" s="26" t="s">
        <v>54</v>
      </c>
      <c r="K39" s="35"/>
    </row>
    <row r="40" spans="2:14" x14ac:dyDescent="0.4">
      <c r="B40" s="23" t="s">
        <v>20</v>
      </c>
      <c r="C40" s="24">
        <f>$C$13*AI4*$L$12</f>
        <v>0</v>
      </c>
      <c r="D40" s="24">
        <f>$D$13*AI4</f>
        <v>0</v>
      </c>
      <c r="E40" s="24">
        <f>$E$13*AI5</f>
        <v>0</v>
      </c>
      <c r="F40" s="24">
        <f>$F$13*AI6</f>
        <v>0</v>
      </c>
      <c r="G40" s="24">
        <f>$G$13*AI6*$L$13</f>
        <v>0</v>
      </c>
      <c r="H40" s="25">
        <f t="shared" ref="H40:H49" si="14">SUM(C40:G40)</f>
        <v>0</v>
      </c>
    </row>
    <row r="41" spans="2:14" x14ac:dyDescent="0.4">
      <c r="B41" s="23" t="s">
        <v>24</v>
      </c>
      <c r="C41" s="24">
        <f>$C$14*AI7*$L$12</f>
        <v>0</v>
      </c>
      <c r="D41" s="24">
        <f>$D$14*AI7</f>
        <v>320</v>
      </c>
      <c r="E41" s="24">
        <f>$E$14*AI8</f>
        <v>400</v>
      </c>
      <c r="F41" s="24">
        <f>$F$14*AI9</f>
        <v>80</v>
      </c>
      <c r="G41" s="24">
        <f>$G$14*AI9*$L$13</f>
        <v>0</v>
      </c>
      <c r="H41" s="25">
        <f t="shared" si="14"/>
        <v>800</v>
      </c>
    </row>
    <row r="42" spans="2:14" x14ac:dyDescent="0.4">
      <c r="B42" s="23" t="s">
        <v>25</v>
      </c>
      <c r="C42" s="24">
        <f>$C$15*AI10*$L$12</f>
        <v>0</v>
      </c>
      <c r="D42" s="24">
        <f>$D$15*AI10</f>
        <v>304</v>
      </c>
      <c r="E42" s="24">
        <f>$E$15*AI11</f>
        <v>520</v>
      </c>
      <c r="F42" s="24">
        <f>$F$15*AI12</f>
        <v>128</v>
      </c>
      <c r="G42" s="24">
        <f>$G$15*AI12*$L$13</f>
        <v>0</v>
      </c>
      <c r="H42" s="25">
        <f t="shared" si="14"/>
        <v>952</v>
      </c>
    </row>
    <row r="43" spans="2:14" x14ac:dyDescent="0.4">
      <c r="B43" s="23" t="s">
        <v>37</v>
      </c>
      <c r="C43" s="24">
        <f>$C$16*AI13*$L$12</f>
        <v>0</v>
      </c>
      <c r="D43" s="24">
        <f>$D$16*AI13</f>
        <v>0</v>
      </c>
      <c r="E43" s="24">
        <f>$E$16*AI14</f>
        <v>0</v>
      </c>
      <c r="F43" s="24">
        <f>$F$16*AI15</f>
        <v>0</v>
      </c>
      <c r="G43" s="24">
        <f>$G$16*AI15*$L$13</f>
        <v>0</v>
      </c>
      <c r="H43" s="25">
        <f t="shared" si="14"/>
        <v>0</v>
      </c>
    </row>
    <row r="44" spans="2:14" x14ac:dyDescent="0.4">
      <c r="B44" s="23" t="s">
        <v>39</v>
      </c>
      <c r="C44" s="24">
        <f>$C$17*AI16*$L$12</f>
        <v>0</v>
      </c>
      <c r="D44" s="24">
        <f>$D$17*AI16</f>
        <v>256</v>
      </c>
      <c r="E44" s="24">
        <f>$E$17*AI17</f>
        <v>560</v>
      </c>
      <c r="F44" s="24">
        <f>$F$17*AI18</f>
        <v>80</v>
      </c>
      <c r="G44" s="24">
        <f>$G$17*AI18*$L$13</f>
        <v>0</v>
      </c>
      <c r="H44" s="25">
        <f t="shared" si="14"/>
        <v>896</v>
      </c>
    </row>
    <row r="45" spans="2:14" x14ac:dyDescent="0.4">
      <c r="B45" s="23" t="s">
        <v>41</v>
      </c>
      <c r="C45" s="24">
        <f>$C$18*AI19*$L$12</f>
        <v>0</v>
      </c>
      <c r="D45" s="24">
        <f>$D$18*AI19</f>
        <v>256</v>
      </c>
      <c r="E45" s="24">
        <f>$E$18*AI20</f>
        <v>672</v>
      </c>
      <c r="F45" s="24">
        <f>$F$18*AI21</f>
        <v>196</v>
      </c>
      <c r="G45" s="24">
        <f>$G$18*AI21*$L$13</f>
        <v>0</v>
      </c>
      <c r="H45" s="25">
        <f t="shared" si="14"/>
        <v>1124</v>
      </c>
    </row>
    <row r="46" spans="2:14" x14ac:dyDescent="0.4">
      <c r="B46" s="23" t="s">
        <v>43</v>
      </c>
      <c r="C46" s="24">
        <f>$C$19*AI22*$L$12</f>
        <v>0</v>
      </c>
      <c r="D46" s="24">
        <f>$D$19*AI22</f>
        <v>128</v>
      </c>
      <c r="E46" s="24">
        <f>$E$19*AI23</f>
        <v>504</v>
      </c>
      <c r="F46" s="24">
        <f>$F$19*AI24</f>
        <v>44</v>
      </c>
      <c r="G46" s="24">
        <f>$G$19*AI24*$L$13</f>
        <v>0</v>
      </c>
      <c r="H46" s="25">
        <f t="shared" si="14"/>
        <v>676</v>
      </c>
    </row>
    <row r="47" spans="2:14" x14ac:dyDescent="0.4">
      <c r="B47" s="23" t="s">
        <v>45</v>
      </c>
      <c r="C47" s="24">
        <f>$C$20*AI25*$L$12</f>
        <v>0</v>
      </c>
      <c r="D47" s="24">
        <f>$D$20*AI25</f>
        <v>0</v>
      </c>
      <c r="E47" s="24">
        <f>$E$20*AI26</f>
        <v>0</v>
      </c>
      <c r="F47" s="24">
        <f>$F$20*AI27</f>
        <v>0</v>
      </c>
      <c r="G47" s="24">
        <f>$G$20*AI27*$L$13</f>
        <v>0</v>
      </c>
      <c r="H47" s="25">
        <f t="shared" si="14"/>
        <v>0</v>
      </c>
    </row>
    <row r="48" spans="2:14" x14ac:dyDescent="0.4">
      <c r="B48" s="23" t="s">
        <v>46</v>
      </c>
      <c r="C48" s="37">
        <f>$C$21*AI28*$L$12</f>
        <v>0</v>
      </c>
      <c r="D48" s="37">
        <f>$D$21*AI28</f>
        <v>0</v>
      </c>
      <c r="E48" s="37">
        <f>$E$21*AI29</f>
        <v>0</v>
      </c>
      <c r="F48" s="37">
        <f>$F$21*AI30</f>
        <v>0</v>
      </c>
      <c r="G48" s="37">
        <f>$G$21*AI30*$L$13</f>
        <v>0</v>
      </c>
      <c r="H48" s="46">
        <f t="shared" si="14"/>
        <v>0</v>
      </c>
    </row>
    <row r="49" spans="1:36" x14ac:dyDescent="0.4">
      <c r="B49" s="26" t="s">
        <v>66</v>
      </c>
      <c r="C49" s="47">
        <f>SUM(C40:C48)</f>
        <v>0</v>
      </c>
      <c r="D49" s="47">
        <f>SUM(D40:D48)</f>
        <v>1264</v>
      </c>
      <c r="E49" s="47">
        <f>SUM(E40:E48)</f>
        <v>2656</v>
      </c>
      <c r="F49" s="47">
        <f>SUM(F40:F48)</f>
        <v>528</v>
      </c>
      <c r="G49" s="47">
        <f>SUM(G40:G48)</f>
        <v>0</v>
      </c>
      <c r="H49" s="47">
        <f t="shared" si="14"/>
        <v>4448</v>
      </c>
    </row>
    <row r="53" spans="1:36" s="48" customFormat="1" x14ac:dyDescent="0.4">
      <c r="C53" s="81" t="s">
        <v>8</v>
      </c>
      <c r="D53" s="82"/>
      <c r="E53" s="82"/>
      <c r="F53" s="83"/>
      <c r="H53" s="49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s="48" customFormat="1" x14ac:dyDescent="0.4">
      <c r="A54" s="50" t="s">
        <v>68</v>
      </c>
      <c r="B54" s="50" t="s">
        <v>69</v>
      </c>
      <c r="C54" s="50" t="s">
        <v>70</v>
      </c>
      <c r="D54" s="50" t="s">
        <v>28</v>
      </c>
      <c r="E54" s="50" t="s">
        <v>71</v>
      </c>
      <c r="F54" s="50" t="s">
        <v>30</v>
      </c>
      <c r="G54" s="50" t="s">
        <v>72</v>
      </c>
      <c r="H54" s="84" t="s">
        <v>73</v>
      </c>
      <c r="I54" s="8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s="48" customFormat="1" x14ac:dyDescent="0.4">
      <c r="A55" s="51" t="s">
        <v>74</v>
      </c>
      <c r="B55" s="51" t="s">
        <v>20</v>
      </c>
      <c r="C55" s="52"/>
      <c r="D55" s="52"/>
      <c r="E55" s="52"/>
      <c r="F55" s="52"/>
      <c r="G55" s="52"/>
      <c r="H55" s="71"/>
      <c r="I55" s="7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s="48" customFormat="1" x14ac:dyDescent="0.4">
      <c r="A56" s="51" t="s">
        <v>74</v>
      </c>
      <c r="B56" s="51" t="s">
        <v>24</v>
      </c>
      <c r="C56" s="52"/>
      <c r="D56" s="52">
        <v>5</v>
      </c>
      <c r="E56" s="52">
        <v>10</v>
      </c>
      <c r="F56" s="52">
        <v>4</v>
      </c>
      <c r="G56" s="52"/>
      <c r="H56" s="71"/>
      <c r="I56" s="72"/>
      <c r="K56" s="53" t="s">
        <v>75</v>
      </c>
      <c r="L56" s="54"/>
      <c r="M56" s="54"/>
      <c r="N56" s="54"/>
      <c r="O56" s="54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s="48" customFormat="1" x14ac:dyDescent="0.4">
      <c r="A57" s="51" t="s">
        <v>74</v>
      </c>
      <c r="B57" s="51" t="s">
        <v>25</v>
      </c>
      <c r="C57" s="52"/>
      <c r="D57" s="52">
        <v>4</v>
      </c>
      <c r="E57" s="52">
        <v>10</v>
      </c>
      <c r="F57" s="52">
        <v>4</v>
      </c>
      <c r="G57" s="52"/>
      <c r="H57" s="71"/>
      <c r="I57" s="72"/>
      <c r="K57" s="55" t="s">
        <v>76</v>
      </c>
      <c r="L57" s="69"/>
      <c r="M57" s="70"/>
      <c r="N57" s="56" t="s">
        <v>77</v>
      </c>
      <c r="O57" s="5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s="48" customFormat="1" x14ac:dyDescent="0.4">
      <c r="A58" s="51" t="s">
        <v>74</v>
      </c>
      <c r="B58" s="51" t="s">
        <v>37</v>
      </c>
      <c r="C58" s="52"/>
      <c r="D58" s="52">
        <v>0</v>
      </c>
      <c r="E58" s="52">
        <v>0</v>
      </c>
      <c r="F58" s="52">
        <v>0</v>
      </c>
      <c r="G58" s="52"/>
      <c r="H58" s="71"/>
      <c r="I58" s="72"/>
      <c r="K58" s="58" t="s">
        <v>78</v>
      </c>
      <c r="L58" s="58"/>
      <c r="M58" s="58"/>
      <c r="N58" s="58" t="s">
        <v>79</v>
      </c>
      <c r="O58" s="58" t="s">
        <v>80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s="48" customFormat="1" x14ac:dyDescent="0.4">
      <c r="A59" s="51" t="s">
        <v>74</v>
      </c>
      <c r="B59" s="51" t="s">
        <v>39</v>
      </c>
      <c r="C59" s="52"/>
      <c r="D59" s="52">
        <v>4</v>
      </c>
      <c r="E59" s="52">
        <v>14</v>
      </c>
      <c r="F59" s="52">
        <v>4</v>
      </c>
      <c r="G59" s="52"/>
      <c r="H59" s="71"/>
      <c r="I59" s="72"/>
      <c r="K59" s="58" t="s">
        <v>81</v>
      </c>
      <c r="L59" s="58"/>
      <c r="M59" s="58"/>
      <c r="N59" s="58" t="s">
        <v>82</v>
      </c>
      <c r="O59" s="58" t="s">
        <v>83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s="48" customFormat="1" x14ac:dyDescent="0.4">
      <c r="A60" s="51" t="s">
        <v>74</v>
      </c>
      <c r="B60" s="51" t="s">
        <v>41</v>
      </c>
      <c r="C60" s="52"/>
      <c r="D60" s="52">
        <v>4</v>
      </c>
      <c r="E60" s="52">
        <v>14</v>
      </c>
      <c r="F60" s="52">
        <v>7</v>
      </c>
      <c r="G60" s="52"/>
      <c r="H60" s="71"/>
      <c r="I60" s="72"/>
      <c r="K60" s="58" t="s">
        <v>84</v>
      </c>
      <c r="L60" s="58"/>
      <c r="M60" s="58"/>
      <c r="N60" s="58" t="s">
        <v>85</v>
      </c>
      <c r="O60" s="58" t="s">
        <v>86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s="48" customFormat="1" x14ac:dyDescent="0.4">
      <c r="A61" s="51" t="s">
        <v>74</v>
      </c>
      <c r="B61" s="51" t="s">
        <v>43</v>
      </c>
      <c r="C61" s="52"/>
      <c r="D61" s="52">
        <v>2</v>
      </c>
      <c r="E61" s="52">
        <v>12</v>
      </c>
      <c r="F61" s="52">
        <v>2</v>
      </c>
      <c r="G61" s="52"/>
      <c r="H61" s="71"/>
      <c r="I61" s="72"/>
      <c r="K61" s="58" t="s">
        <v>87</v>
      </c>
      <c r="L61" s="58"/>
      <c r="M61" s="58"/>
      <c r="N61" s="58" t="s">
        <v>88</v>
      </c>
      <c r="O61" s="58" t="s">
        <v>89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s="48" customFormat="1" x14ac:dyDescent="0.4">
      <c r="A62" s="51" t="s">
        <v>74</v>
      </c>
      <c r="B62" s="51" t="s">
        <v>45</v>
      </c>
      <c r="C62" s="52"/>
      <c r="D62" s="52"/>
      <c r="E62" s="52"/>
      <c r="F62" s="52"/>
      <c r="G62" s="52"/>
      <c r="H62" s="71"/>
      <c r="I62" s="72"/>
      <c r="K62" s="58" t="s">
        <v>90</v>
      </c>
      <c r="L62" s="58"/>
      <c r="M62" s="58"/>
      <c r="N62" s="58" t="s">
        <v>91</v>
      </c>
      <c r="O62" s="58" t="s">
        <v>92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s="48" customFormat="1" x14ac:dyDescent="0.4">
      <c r="A63" s="51" t="s">
        <v>74</v>
      </c>
      <c r="B63" s="51" t="s">
        <v>46</v>
      </c>
      <c r="C63" s="52"/>
      <c r="D63" s="52"/>
      <c r="E63" s="52"/>
      <c r="F63" s="52"/>
      <c r="G63" s="52"/>
      <c r="H63" s="71"/>
      <c r="I63" s="72"/>
      <c r="K63" s="58" t="s">
        <v>93</v>
      </c>
      <c r="L63" s="58"/>
      <c r="M63" s="58"/>
      <c r="N63" s="58" t="s">
        <v>94</v>
      </c>
      <c r="O63" s="58" t="s">
        <v>95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s="48" customFormat="1" x14ac:dyDescent="0.4">
      <c r="A64" s="51"/>
      <c r="B64" s="51"/>
      <c r="C64" s="52"/>
      <c r="D64" s="52"/>
      <c r="E64" s="52"/>
      <c r="F64" s="52"/>
      <c r="G64" s="52"/>
      <c r="H64" s="71"/>
      <c r="I64" s="72"/>
      <c r="K64" s="58" t="s">
        <v>96</v>
      </c>
      <c r="L64" s="58"/>
      <c r="M64" s="58"/>
      <c r="N64" s="58" t="s">
        <v>97</v>
      </c>
      <c r="O64" s="58" t="s">
        <v>98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s="48" customFormat="1" x14ac:dyDescent="0.4">
      <c r="A65" s="51"/>
      <c r="B65" s="51"/>
      <c r="C65" s="52"/>
      <c r="D65" s="52"/>
      <c r="E65" s="52"/>
      <c r="F65" s="52"/>
      <c r="G65" s="52"/>
      <c r="H65" s="71"/>
      <c r="I65" s="72"/>
      <c r="K65" s="58" t="s">
        <v>99</v>
      </c>
      <c r="L65" s="58"/>
      <c r="M65" s="58"/>
      <c r="N65" s="58" t="s">
        <v>100</v>
      </c>
      <c r="O65" s="58" t="s">
        <v>101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s="48" customFormat="1" x14ac:dyDescent="0.4">
      <c r="A66" s="51"/>
      <c r="B66" s="51"/>
      <c r="C66" s="52"/>
      <c r="D66" s="52"/>
      <c r="E66" s="52"/>
      <c r="F66" s="52"/>
      <c r="G66" s="52"/>
      <c r="H66" s="71"/>
      <c r="I66" s="72"/>
      <c r="K66" s="58" t="s">
        <v>102</v>
      </c>
      <c r="L66" s="58"/>
      <c r="M66" s="58"/>
      <c r="N66" s="58" t="s">
        <v>103</v>
      </c>
      <c r="O66" s="58" t="s">
        <v>104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s="48" customFormat="1" x14ac:dyDescent="0.4">
      <c r="A67" s="51"/>
      <c r="B67" s="51"/>
      <c r="C67" s="52"/>
      <c r="D67" s="52"/>
      <c r="E67" s="52"/>
      <c r="F67" s="52"/>
      <c r="G67" s="52"/>
      <c r="H67" s="71"/>
      <c r="I67" s="72"/>
      <c r="K67" s="58" t="s">
        <v>105</v>
      </c>
      <c r="L67" s="58"/>
      <c r="M67" s="58"/>
      <c r="N67" s="58" t="s">
        <v>106</v>
      </c>
      <c r="O67" s="58" t="s">
        <v>107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s="48" customFormat="1" x14ac:dyDescent="0.4">
      <c r="A68" s="51"/>
      <c r="B68" s="51"/>
      <c r="C68" s="52"/>
      <c r="D68" s="52"/>
      <c r="E68" s="52"/>
      <c r="F68" s="52"/>
      <c r="G68" s="52"/>
      <c r="H68" s="71"/>
      <c r="I68" s="72"/>
      <c r="K68" s="58" t="s">
        <v>108</v>
      </c>
      <c r="L68" s="58"/>
      <c r="M68" s="58"/>
      <c r="N68" s="58" t="s">
        <v>109</v>
      </c>
      <c r="O68" s="58" t="s">
        <v>110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s="48" customFormat="1" x14ac:dyDescent="0.4">
      <c r="A69" s="51"/>
      <c r="B69" s="51"/>
      <c r="C69" s="52"/>
      <c r="D69" s="52"/>
      <c r="E69" s="52"/>
      <c r="F69" s="52"/>
      <c r="G69" s="52"/>
      <c r="H69" s="71"/>
      <c r="I69" s="72"/>
      <c r="K69" s="58" t="s">
        <v>111</v>
      </c>
      <c r="L69" s="58"/>
      <c r="M69" s="58"/>
      <c r="N69" s="58" t="s">
        <v>112</v>
      </c>
      <c r="O69" s="58" t="s">
        <v>113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s="48" customFormat="1" x14ac:dyDescent="0.4">
      <c r="A70" s="51"/>
      <c r="B70" s="51"/>
      <c r="C70" s="52"/>
      <c r="D70" s="52"/>
      <c r="E70" s="52"/>
      <c r="F70" s="52"/>
      <c r="G70" s="52"/>
      <c r="H70" s="71"/>
      <c r="I70" s="72"/>
      <c r="K70" s="58" t="s">
        <v>114</v>
      </c>
      <c r="L70" s="58"/>
      <c r="M70" s="58"/>
      <c r="N70" s="58" t="s">
        <v>115</v>
      </c>
      <c r="O70" s="58" t="s">
        <v>116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s="48" customFormat="1" x14ac:dyDescent="0.4">
      <c r="A71" s="51"/>
      <c r="B71" s="51"/>
      <c r="C71" s="52"/>
      <c r="D71" s="52"/>
      <c r="E71" s="52"/>
      <c r="F71" s="52"/>
      <c r="G71" s="52"/>
      <c r="H71" s="71"/>
      <c r="I71" s="72"/>
      <c r="K71" s="58" t="s">
        <v>117</v>
      </c>
      <c r="L71" s="58"/>
      <c r="M71" s="58"/>
      <c r="N71" s="58" t="s">
        <v>118</v>
      </c>
      <c r="O71" s="58" t="s">
        <v>119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s="48" customFormat="1" x14ac:dyDescent="0.4">
      <c r="A72" s="51"/>
      <c r="B72" s="51"/>
      <c r="C72" s="52"/>
      <c r="D72" s="52"/>
      <c r="E72" s="52"/>
      <c r="F72" s="52"/>
      <c r="G72" s="52"/>
      <c r="H72" s="71"/>
      <c r="I72" s="72"/>
      <c r="K72" s="58" t="s">
        <v>120</v>
      </c>
      <c r="L72" s="58"/>
      <c r="M72" s="58"/>
      <c r="N72" s="58" t="s">
        <v>121</v>
      </c>
      <c r="O72" s="58" t="s">
        <v>122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s="48" customFormat="1" x14ac:dyDescent="0.4">
      <c r="A73" s="51"/>
      <c r="B73" s="51"/>
      <c r="C73" s="52"/>
      <c r="D73" s="52"/>
      <c r="E73" s="52"/>
      <c r="F73" s="52"/>
      <c r="G73" s="52"/>
      <c r="H73" s="71"/>
      <c r="I73" s="72"/>
      <c r="K73" s="58" t="s">
        <v>123</v>
      </c>
      <c r="L73" s="58"/>
      <c r="M73" s="58"/>
      <c r="N73" s="58" t="s">
        <v>124</v>
      </c>
      <c r="O73" s="58" t="s">
        <v>125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s="48" customFormat="1" x14ac:dyDescent="0.4">
      <c r="A74" s="51"/>
      <c r="B74" s="51"/>
      <c r="C74" s="52"/>
      <c r="D74" s="52"/>
      <c r="E74" s="52"/>
      <c r="F74" s="52"/>
      <c r="G74" s="52"/>
      <c r="H74" s="71"/>
      <c r="I74" s="72"/>
      <c r="K74" s="58" t="s">
        <v>126</v>
      </c>
      <c r="L74" s="58"/>
      <c r="M74" s="58"/>
      <c r="N74" s="58"/>
      <c r="O74" s="58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s="48" customFormat="1" x14ac:dyDescent="0.4">
      <c r="A75" s="51"/>
      <c r="B75" s="51"/>
      <c r="C75" s="52"/>
      <c r="D75" s="52"/>
      <c r="E75" s="52"/>
      <c r="F75" s="52"/>
      <c r="G75" s="52"/>
      <c r="H75" s="71"/>
      <c r="I75" s="7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s="48" customFormat="1" x14ac:dyDescent="0.4">
      <c r="A76" s="51"/>
      <c r="B76" s="51"/>
      <c r="C76" s="52"/>
      <c r="D76" s="52"/>
      <c r="E76" s="52"/>
      <c r="F76" s="52"/>
      <c r="G76" s="52"/>
      <c r="H76" s="71"/>
      <c r="I76" s="7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s="48" customFormat="1" x14ac:dyDescent="0.4">
      <c r="A77" s="51"/>
      <c r="B77" s="51"/>
      <c r="C77" s="52"/>
      <c r="D77" s="52"/>
      <c r="E77" s="52"/>
      <c r="F77" s="52"/>
      <c r="G77" s="52"/>
      <c r="H77" s="71"/>
      <c r="I77" s="7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s="48" customFormat="1" x14ac:dyDescent="0.4">
      <c r="A78" s="51"/>
      <c r="B78" s="51"/>
      <c r="C78" s="52"/>
      <c r="D78" s="52"/>
      <c r="E78" s="52"/>
      <c r="F78" s="52"/>
      <c r="G78" s="52"/>
      <c r="H78" s="71"/>
      <c r="I78" s="7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s="48" customFormat="1" x14ac:dyDescent="0.4">
      <c r="A79" s="51"/>
      <c r="B79" s="51"/>
      <c r="C79" s="52"/>
      <c r="D79" s="52"/>
      <c r="E79" s="52"/>
      <c r="F79" s="52"/>
      <c r="G79" s="52"/>
      <c r="H79" s="71"/>
      <c r="I79" s="7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4">
      <c r="A80" s="51"/>
      <c r="B80" s="51"/>
      <c r="C80" s="52"/>
      <c r="D80" s="52"/>
      <c r="E80" s="52"/>
      <c r="F80" s="52"/>
      <c r="G80" s="52"/>
      <c r="H80" s="71"/>
      <c r="I80" s="72"/>
    </row>
    <row r="81" spans="1:9" x14ac:dyDescent="0.4">
      <c r="A81" s="51"/>
      <c r="B81" s="51"/>
      <c r="C81" s="52"/>
      <c r="D81" s="52"/>
      <c r="E81" s="52"/>
      <c r="F81" s="52"/>
      <c r="G81" s="52"/>
      <c r="H81" s="71"/>
      <c r="I81" s="72"/>
    </row>
    <row r="82" spans="1:9" x14ac:dyDescent="0.4">
      <c r="A82" s="51"/>
      <c r="B82" s="51"/>
      <c r="C82" s="52"/>
      <c r="D82" s="52"/>
      <c r="E82" s="52"/>
      <c r="F82" s="52"/>
      <c r="G82" s="52"/>
      <c r="H82" s="71"/>
      <c r="I82" s="72"/>
    </row>
    <row r="83" spans="1:9" x14ac:dyDescent="0.4">
      <c r="A83" s="51"/>
      <c r="B83" s="51"/>
      <c r="C83" s="52"/>
      <c r="D83" s="52"/>
      <c r="E83" s="52"/>
      <c r="F83" s="52"/>
      <c r="G83" s="52"/>
      <c r="H83" s="71"/>
      <c r="I83" s="72"/>
    </row>
    <row r="84" spans="1:9" x14ac:dyDescent="0.4">
      <c r="A84" s="51"/>
      <c r="B84" s="51"/>
      <c r="C84" s="52"/>
      <c r="D84" s="52"/>
      <c r="E84" s="52"/>
      <c r="F84" s="52"/>
      <c r="G84" s="52"/>
      <c r="H84" s="71"/>
      <c r="I84" s="72"/>
    </row>
    <row r="85" spans="1:9" x14ac:dyDescent="0.4">
      <c r="A85" s="51"/>
      <c r="B85" s="51"/>
      <c r="C85" s="52"/>
      <c r="D85" s="52"/>
      <c r="E85" s="52"/>
      <c r="F85" s="52"/>
      <c r="G85" s="52"/>
      <c r="H85" s="71"/>
      <c r="I85" s="72"/>
    </row>
    <row r="86" spans="1:9" x14ac:dyDescent="0.4">
      <c r="A86" s="51"/>
      <c r="B86" s="51"/>
      <c r="C86" s="52"/>
      <c r="D86" s="52"/>
      <c r="E86" s="52"/>
      <c r="F86" s="52"/>
      <c r="G86" s="52"/>
      <c r="H86" s="71"/>
      <c r="I86" s="72"/>
    </row>
    <row r="87" spans="1:9" x14ac:dyDescent="0.4">
      <c r="A87" s="51"/>
      <c r="B87" s="51"/>
      <c r="C87" s="52"/>
      <c r="D87" s="52"/>
      <c r="E87" s="52"/>
      <c r="F87" s="52"/>
      <c r="G87" s="52"/>
      <c r="H87" s="71"/>
      <c r="I87" s="72"/>
    </row>
    <row r="88" spans="1:9" x14ac:dyDescent="0.4">
      <c r="A88" s="51"/>
      <c r="B88" s="51"/>
      <c r="C88" s="52"/>
      <c r="D88" s="52"/>
      <c r="E88" s="52"/>
      <c r="F88" s="52"/>
      <c r="G88" s="52"/>
      <c r="H88" s="71"/>
      <c r="I88" s="72"/>
    </row>
    <row r="89" spans="1:9" x14ac:dyDescent="0.4">
      <c r="A89" s="51"/>
      <c r="B89" s="51"/>
      <c r="C89" s="52"/>
      <c r="D89" s="52"/>
      <c r="E89" s="52"/>
      <c r="F89" s="52"/>
      <c r="G89" s="52"/>
      <c r="H89" s="71"/>
      <c r="I89" s="72"/>
    </row>
    <row r="90" spans="1:9" x14ac:dyDescent="0.4">
      <c r="A90" s="51"/>
      <c r="B90" s="51"/>
      <c r="C90" s="52"/>
      <c r="D90" s="52"/>
      <c r="E90" s="52"/>
      <c r="F90" s="52"/>
      <c r="G90" s="52"/>
      <c r="H90" s="71"/>
      <c r="I90" s="72"/>
    </row>
    <row r="91" spans="1:9" x14ac:dyDescent="0.4">
      <c r="A91" s="51"/>
      <c r="B91" s="51"/>
      <c r="C91" s="52"/>
      <c r="D91" s="52"/>
      <c r="E91" s="52"/>
      <c r="F91" s="52"/>
      <c r="G91" s="52"/>
      <c r="H91" s="71"/>
      <c r="I91" s="72"/>
    </row>
    <row r="92" spans="1:9" x14ac:dyDescent="0.4">
      <c r="A92" s="51"/>
      <c r="B92" s="51"/>
      <c r="C92" s="52"/>
      <c r="D92" s="52"/>
      <c r="E92" s="52"/>
      <c r="F92" s="52"/>
      <c r="G92" s="52"/>
      <c r="H92" s="71"/>
      <c r="I92" s="72"/>
    </row>
    <row r="93" spans="1:9" x14ac:dyDescent="0.4">
      <c r="A93" s="51"/>
      <c r="B93" s="51"/>
      <c r="C93" s="52"/>
      <c r="D93" s="52"/>
      <c r="E93" s="52"/>
      <c r="F93" s="52"/>
      <c r="G93" s="52"/>
      <c r="H93" s="71"/>
      <c r="I93" s="72"/>
    </row>
    <row r="94" spans="1:9" x14ac:dyDescent="0.4">
      <c r="A94" s="51"/>
      <c r="B94" s="51"/>
      <c r="C94" s="52"/>
      <c r="D94" s="52"/>
      <c r="E94" s="52"/>
      <c r="F94" s="52"/>
      <c r="G94" s="52"/>
      <c r="H94" s="71"/>
      <c r="I94" s="72"/>
    </row>
    <row r="95" spans="1:9" x14ac:dyDescent="0.4">
      <c r="A95" s="51"/>
      <c r="B95" s="51"/>
      <c r="C95" s="52"/>
      <c r="D95" s="52"/>
      <c r="E95" s="52"/>
      <c r="F95" s="52"/>
      <c r="G95" s="52"/>
      <c r="H95" s="71"/>
      <c r="I95" s="72"/>
    </row>
    <row r="96" spans="1:9" x14ac:dyDescent="0.4">
      <c r="A96" s="51"/>
      <c r="B96" s="51"/>
      <c r="C96" s="52"/>
      <c r="D96" s="52"/>
      <c r="E96" s="52"/>
      <c r="F96" s="52"/>
      <c r="G96" s="52"/>
      <c r="H96" s="71"/>
      <c r="I96" s="72"/>
    </row>
    <row r="97" spans="1:9" x14ac:dyDescent="0.4">
      <c r="A97" s="51"/>
      <c r="B97" s="51"/>
      <c r="C97" s="52"/>
      <c r="D97" s="52"/>
      <c r="E97" s="52"/>
      <c r="F97" s="52"/>
      <c r="G97" s="52"/>
      <c r="H97" s="71"/>
      <c r="I97" s="72"/>
    </row>
    <row r="98" spans="1:9" x14ac:dyDescent="0.4">
      <c r="A98" s="51"/>
      <c r="B98" s="51"/>
      <c r="C98" s="52"/>
      <c r="D98" s="52"/>
      <c r="E98" s="52"/>
      <c r="F98" s="52"/>
      <c r="G98" s="52"/>
      <c r="H98" s="71"/>
      <c r="I98" s="72"/>
    </row>
    <row r="99" spans="1:9" x14ac:dyDescent="0.4">
      <c r="A99" s="51"/>
      <c r="B99" s="51"/>
      <c r="C99" s="52"/>
      <c r="D99" s="52"/>
      <c r="E99" s="52"/>
      <c r="F99" s="52"/>
      <c r="G99" s="52"/>
      <c r="H99" s="71"/>
      <c r="I99" s="72"/>
    </row>
    <row r="100" spans="1:9" x14ac:dyDescent="0.4">
      <c r="A100" s="51"/>
      <c r="B100" s="51"/>
      <c r="C100" s="52"/>
      <c r="D100" s="52"/>
      <c r="E100" s="52"/>
      <c r="F100" s="52"/>
      <c r="G100" s="52"/>
      <c r="H100" s="71"/>
      <c r="I100" s="72"/>
    </row>
    <row r="101" spans="1:9" x14ac:dyDescent="0.4">
      <c r="A101" s="51"/>
      <c r="B101" s="51"/>
      <c r="C101" s="52"/>
      <c r="D101" s="52"/>
      <c r="E101" s="52"/>
      <c r="F101" s="52"/>
      <c r="G101" s="52"/>
      <c r="H101" s="71"/>
      <c r="I101" s="72"/>
    </row>
    <row r="102" spans="1:9" x14ac:dyDescent="0.4">
      <c r="A102" s="51"/>
      <c r="B102" s="51"/>
      <c r="C102" s="52"/>
      <c r="D102" s="52"/>
      <c r="E102" s="52"/>
      <c r="F102" s="52"/>
      <c r="G102" s="52"/>
      <c r="H102" s="71"/>
      <c r="I102" s="72"/>
    </row>
    <row r="103" spans="1:9" x14ac:dyDescent="0.4">
      <c r="A103" s="51"/>
      <c r="B103" s="51"/>
      <c r="C103" s="52"/>
      <c r="D103" s="52"/>
      <c r="E103" s="52"/>
      <c r="F103" s="52"/>
      <c r="G103" s="52"/>
      <c r="H103" s="71"/>
      <c r="I103" s="72"/>
    </row>
    <row r="104" spans="1:9" x14ac:dyDescent="0.4">
      <c r="A104" s="51"/>
      <c r="B104" s="51"/>
      <c r="C104" s="52"/>
      <c r="D104" s="52"/>
      <c r="E104" s="52"/>
      <c r="F104" s="52"/>
      <c r="G104" s="52"/>
      <c r="H104" s="71"/>
      <c r="I104" s="72"/>
    </row>
    <row r="105" spans="1:9" x14ac:dyDescent="0.4">
      <c r="A105" s="51"/>
      <c r="B105" s="51"/>
      <c r="C105" s="52"/>
      <c r="D105" s="52"/>
      <c r="E105" s="52"/>
      <c r="F105" s="52"/>
      <c r="G105" s="52"/>
      <c r="H105" s="71"/>
      <c r="I105" s="72"/>
    </row>
    <row r="106" spans="1:9" x14ac:dyDescent="0.4">
      <c r="A106" s="51"/>
      <c r="B106" s="51"/>
      <c r="C106" s="52"/>
      <c r="D106" s="52"/>
      <c r="E106" s="52"/>
      <c r="F106" s="52"/>
      <c r="G106" s="52"/>
      <c r="H106" s="71"/>
      <c r="I106" s="72"/>
    </row>
    <row r="107" spans="1:9" x14ac:dyDescent="0.4">
      <c r="A107" s="51"/>
      <c r="B107" s="51"/>
      <c r="C107" s="52"/>
      <c r="D107" s="52"/>
      <c r="E107" s="52"/>
      <c r="F107" s="52"/>
      <c r="G107" s="52"/>
      <c r="H107" s="71"/>
      <c r="I107" s="72"/>
    </row>
    <row r="108" spans="1:9" x14ac:dyDescent="0.4">
      <c r="A108" s="51"/>
      <c r="B108" s="51"/>
      <c r="C108" s="52"/>
      <c r="D108" s="52"/>
      <c r="E108" s="52"/>
      <c r="F108" s="52"/>
      <c r="G108" s="52"/>
      <c r="H108" s="71"/>
      <c r="I108" s="72"/>
    </row>
    <row r="109" spans="1:9" x14ac:dyDescent="0.4">
      <c r="A109" s="51"/>
      <c r="B109" s="51"/>
      <c r="C109" s="52"/>
      <c r="D109" s="52"/>
      <c r="E109" s="52"/>
      <c r="F109" s="52"/>
      <c r="G109" s="52"/>
      <c r="H109" s="71"/>
      <c r="I109" s="72"/>
    </row>
    <row r="110" spans="1:9" x14ac:dyDescent="0.4">
      <c r="A110" s="51"/>
      <c r="B110" s="51"/>
      <c r="C110" s="52"/>
      <c r="D110" s="52"/>
      <c r="E110" s="52"/>
      <c r="F110" s="52"/>
      <c r="G110" s="52"/>
      <c r="H110" s="71"/>
      <c r="I110" s="72"/>
    </row>
    <row r="111" spans="1:9" x14ac:dyDescent="0.4">
      <c r="A111" s="51"/>
      <c r="B111" s="51"/>
      <c r="C111" s="52"/>
      <c r="D111" s="52"/>
      <c r="E111" s="52"/>
      <c r="F111" s="52"/>
      <c r="G111" s="52"/>
      <c r="H111" s="71"/>
      <c r="I111" s="72"/>
    </row>
    <row r="112" spans="1:9" x14ac:dyDescent="0.4">
      <c r="A112" s="51"/>
      <c r="B112" s="51"/>
      <c r="C112" s="52"/>
      <c r="D112" s="52"/>
      <c r="E112" s="52"/>
      <c r="F112" s="52"/>
      <c r="G112" s="52"/>
      <c r="H112" s="71"/>
      <c r="I112" s="72"/>
    </row>
    <row r="113" spans="1:9" x14ac:dyDescent="0.4">
      <c r="A113" s="51"/>
      <c r="B113" s="51"/>
      <c r="C113" s="52"/>
      <c r="D113" s="52"/>
      <c r="E113" s="52"/>
      <c r="F113" s="52"/>
      <c r="G113" s="52"/>
      <c r="H113" s="71"/>
      <c r="I113" s="72"/>
    </row>
    <row r="114" spans="1:9" x14ac:dyDescent="0.4">
      <c r="A114" s="51"/>
      <c r="B114" s="51"/>
      <c r="C114" s="52"/>
      <c r="D114" s="52"/>
      <c r="E114" s="52"/>
      <c r="F114" s="52"/>
      <c r="G114" s="52"/>
      <c r="H114" s="71"/>
      <c r="I114" s="72"/>
    </row>
    <row r="115" spans="1:9" x14ac:dyDescent="0.4">
      <c r="A115" s="51"/>
      <c r="B115" s="51"/>
      <c r="C115" s="52"/>
      <c r="D115" s="52"/>
      <c r="E115" s="52"/>
      <c r="F115" s="52"/>
      <c r="G115" s="52"/>
      <c r="H115" s="71"/>
      <c r="I115" s="72"/>
    </row>
    <row r="116" spans="1:9" x14ac:dyDescent="0.4">
      <c r="A116" s="51"/>
      <c r="B116" s="51"/>
      <c r="C116" s="52"/>
      <c r="D116" s="52"/>
      <c r="E116" s="52"/>
      <c r="F116" s="52"/>
      <c r="G116" s="52"/>
      <c r="H116" s="71"/>
      <c r="I116" s="72"/>
    </row>
    <row r="117" spans="1:9" x14ac:dyDescent="0.4">
      <c r="A117" s="51"/>
      <c r="B117" s="51"/>
      <c r="C117" s="52"/>
      <c r="D117" s="52"/>
      <c r="E117" s="52"/>
      <c r="F117" s="52"/>
      <c r="G117" s="52"/>
      <c r="H117" s="71"/>
      <c r="I117" s="72"/>
    </row>
    <row r="118" spans="1:9" x14ac:dyDescent="0.4">
      <c r="A118" s="51"/>
      <c r="B118" s="51"/>
      <c r="C118" s="52"/>
      <c r="D118" s="52"/>
      <c r="E118" s="52"/>
      <c r="F118" s="52"/>
      <c r="G118" s="52"/>
      <c r="H118" s="71"/>
      <c r="I118" s="72"/>
    </row>
    <row r="119" spans="1:9" x14ac:dyDescent="0.4">
      <c r="A119" s="51"/>
      <c r="B119" s="51"/>
      <c r="C119" s="52"/>
      <c r="D119" s="52"/>
      <c r="E119" s="52"/>
      <c r="F119" s="52"/>
      <c r="G119" s="52"/>
      <c r="H119" s="71"/>
      <c r="I119" s="72"/>
    </row>
    <row r="120" spans="1:9" x14ac:dyDescent="0.4">
      <c r="A120" s="51"/>
      <c r="B120" s="51"/>
      <c r="C120" s="52"/>
      <c r="D120" s="52"/>
      <c r="E120" s="52"/>
      <c r="F120" s="52"/>
      <c r="G120" s="52"/>
      <c r="H120" s="71"/>
      <c r="I120" s="72"/>
    </row>
    <row r="121" spans="1:9" x14ac:dyDescent="0.4">
      <c r="A121" s="51"/>
      <c r="B121" s="51"/>
      <c r="C121" s="52"/>
      <c r="D121" s="52"/>
      <c r="E121" s="52"/>
      <c r="F121" s="52"/>
      <c r="G121" s="52"/>
      <c r="H121" s="71"/>
      <c r="I121" s="72"/>
    </row>
    <row r="122" spans="1:9" x14ac:dyDescent="0.4">
      <c r="A122" s="51"/>
      <c r="B122" s="51"/>
      <c r="C122" s="52"/>
      <c r="D122" s="52"/>
      <c r="E122" s="52"/>
      <c r="F122" s="52"/>
      <c r="G122" s="52"/>
      <c r="H122" s="71"/>
      <c r="I122" s="72"/>
    </row>
    <row r="123" spans="1:9" x14ac:dyDescent="0.4">
      <c r="A123" s="51"/>
      <c r="B123" s="51"/>
      <c r="C123" s="52"/>
      <c r="D123" s="52"/>
      <c r="E123" s="52"/>
      <c r="F123" s="52"/>
      <c r="G123" s="52"/>
      <c r="H123" s="71"/>
      <c r="I123" s="72"/>
    </row>
    <row r="124" spans="1:9" x14ac:dyDescent="0.4">
      <c r="A124" s="51"/>
      <c r="B124" s="51"/>
      <c r="C124" s="52"/>
      <c r="D124" s="52"/>
      <c r="E124" s="52"/>
      <c r="F124" s="52"/>
      <c r="G124" s="52"/>
      <c r="H124" s="71"/>
      <c r="I124" s="72"/>
    </row>
    <row r="125" spans="1:9" x14ac:dyDescent="0.4">
      <c r="A125" s="51"/>
      <c r="B125" s="51"/>
      <c r="C125" s="52"/>
      <c r="D125" s="52"/>
      <c r="E125" s="52"/>
      <c r="F125" s="52"/>
      <c r="G125" s="52"/>
      <c r="H125" s="71"/>
      <c r="I125" s="72"/>
    </row>
    <row r="126" spans="1:9" x14ac:dyDescent="0.4">
      <c r="A126" s="51"/>
      <c r="B126" s="51"/>
      <c r="C126" s="52"/>
      <c r="D126" s="52"/>
      <c r="E126" s="52"/>
      <c r="F126" s="52"/>
      <c r="G126" s="52"/>
      <c r="H126" s="71"/>
      <c r="I126" s="72"/>
    </row>
    <row r="127" spans="1:9" x14ac:dyDescent="0.4">
      <c r="A127" s="51"/>
      <c r="B127" s="51"/>
      <c r="C127" s="52"/>
      <c r="D127" s="52"/>
      <c r="E127" s="52"/>
      <c r="F127" s="52"/>
      <c r="G127" s="52"/>
      <c r="H127" s="71"/>
      <c r="I127" s="72"/>
    </row>
    <row r="128" spans="1:9" x14ac:dyDescent="0.4">
      <c r="A128" s="51"/>
      <c r="B128" s="51"/>
      <c r="C128" s="52"/>
      <c r="D128" s="52"/>
      <c r="E128" s="52"/>
      <c r="F128" s="52"/>
      <c r="G128" s="52"/>
      <c r="H128" s="71"/>
      <c r="I128" s="72"/>
    </row>
    <row r="129" spans="1:9" x14ac:dyDescent="0.4">
      <c r="A129" s="51"/>
      <c r="B129" s="51"/>
      <c r="C129" s="52"/>
      <c r="D129" s="52"/>
      <c r="E129" s="52"/>
      <c r="F129" s="52"/>
      <c r="G129" s="52"/>
      <c r="H129" s="71"/>
      <c r="I129" s="72"/>
    </row>
    <row r="130" spans="1:9" x14ac:dyDescent="0.4">
      <c r="A130" s="51"/>
      <c r="B130" s="51"/>
      <c r="C130" s="52"/>
      <c r="D130" s="52"/>
      <c r="E130" s="52"/>
      <c r="F130" s="52"/>
      <c r="G130" s="52"/>
      <c r="H130" s="71"/>
      <c r="I130" s="72"/>
    </row>
    <row r="131" spans="1:9" x14ac:dyDescent="0.4">
      <c r="A131" s="51"/>
      <c r="B131" s="51"/>
      <c r="C131" s="52"/>
      <c r="D131" s="52"/>
      <c r="E131" s="52"/>
      <c r="F131" s="52"/>
      <c r="G131" s="52"/>
      <c r="H131" s="71"/>
      <c r="I131" s="72"/>
    </row>
    <row r="132" spans="1:9" x14ac:dyDescent="0.4">
      <c r="A132" s="51"/>
      <c r="B132" s="51"/>
      <c r="C132" s="52"/>
      <c r="D132" s="52"/>
      <c r="E132" s="52"/>
      <c r="F132" s="52"/>
      <c r="G132" s="52"/>
      <c r="H132" s="71"/>
      <c r="I132" s="72"/>
    </row>
    <row r="133" spans="1:9" x14ac:dyDescent="0.4">
      <c r="A133" s="51"/>
      <c r="B133" s="51"/>
      <c r="C133" s="52"/>
      <c r="D133" s="52"/>
      <c r="E133" s="52"/>
      <c r="F133" s="52"/>
      <c r="G133" s="52"/>
      <c r="H133" s="71"/>
      <c r="I133" s="72"/>
    </row>
    <row r="134" spans="1:9" x14ac:dyDescent="0.4">
      <c r="A134" s="51"/>
      <c r="B134" s="51"/>
      <c r="C134" s="52"/>
      <c r="D134" s="52"/>
      <c r="E134" s="52"/>
      <c r="F134" s="52"/>
      <c r="G134" s="52"/>
      <c r="H134" s="71"/>
      <c r="I134" s="72"/>
    </row>
    <row r="135" spans="1:9" x14ac:dyDescent="0.4">
      <c r="A135" s="51"/>
      <c r="B135" s="51"/>
      <c r="C135" s="52"/>
      <c r="D135" s="52"/>
      <c r="E135" s="52"/>
      <c r="F135" s="52"/>
      <c r="G135" s="52"/>
      <c r="H135" s="71"/>
      <c r="I135" s="72"/>
    </row>
    <row r="136" spans="1:9" x14ac:dyDescent="0.4">
      <c r="A136" s="51"/>
      <c r="B136" s="51"/>
      <c r="C136" s="52"/>
      <c r="D136" s="52"/>
      <c r="E136" s="52"/>
      <c r="F136" s="52"/>
      <c r="G136" s="52"/>
      <c r="H136" s="71"/>
      <c r="I136" s="72"/>
    </row>
    <row r="137" spans="1:9" x14ac:dyDescent="0.4">
      <c r="A137" s="51"/>
      <c r="B137" s="51"/>
      <c r="C137" s="52"/>
      <c r="D137" s="52"/>
      <c r="E137" s="52"/>
      <c r="F137" s="52"/>
      <c r="G137" s="52"/>
      <c r="H137" s="71"/>
      <c r="I137" s="72"/>
    </row>
    <row r="138" spans="1:9" x14ac:dyDescent="0.4">
      <c r="A138" s="51"/>
      <c r="B138" s="51"/>
      <c r="C138" s="52"/>
      <c r="D138" s="52"/>
      <c r="E138" s="52"/>
      <c r="F138" s="52"/>
      <c r="G138" s="52"/>
      <c r="H138" s="71"/>
      <c r="I138" s="72"/>
    </row>
    <row r="139" spans="1:9" x14ac:dyDescent="0.4">
      <c r="A139" s="51"/>
      <c r="B139" s="51"/>
      <c r="C139" s="52"/>
      <c r="D139" s="52"/>
      <c r="E139" s="52"/>
      <c r="F139" s="52"/>
      <c r="G139" s="52"/>
      <c r="H139" s="71"/>
      <c r="I139" s="72"/>
    </row>
    <row r="140" spans="1:9" x14ac:dyDescent="0.4">
      <c r="A140" s="51"/>
      <c r="B140" s="51"/>
      <c r="C140" s="52"/>
      <c r="D140" s="52"/>
      <c r="E140" s="52"/>
      <c r="F140" s="52"/>
      <c r="G140" s="52"/>
      <c r="H140" s="71"/>
      <c r="I140" s="72"/>
    </row>
    <row r="141" spans="1:9" x14ac:dyDescent="0.4">
      <c r="A141" s="51"/>
      <c r="B141" s="51"/>
      <c r="C141" s="52"/>
      <c r="D141" s="52"/>
      <c r="E141" s="52"/>
      <c r="F141" s="52"/>
      <c r="G141" s="52"/>
      <c r="H141" s="71"/>
      <c r="I141" s="72"/>
    </row>
    <row r="142" spans="1:9" x14ac:dyDescent="0.4">
      <c r="A142" s="51"/>
      <c r="B142" s="51"/>
      <c r="C142" s="52"/>
      <c r="D142" s="52"/>
      <c r="E142" s="52"/>
      <c r="F142" s="52"/>
      <c r="G142" s="52"/>
      <c r="H142" s="71"/>
      <c r="I142" s="72"/>
    </row>
    <row r="143" spans="1:9" x14ac:dyDescent="0.4">
      <c r="A143" s="51"/>
      <c r="B143" s="51"/>
      <c r="C143" s="52"/>
      <c r="D143" s="52"/>
      <c r="E143" s="52"/>
      <c r="F143" s="52"/>
      <c r="G143" s="52"/>
      <c r="H143" s="71"/>
      <c r="I143" s="72"/>
    </row>
    <row r="144" spans="1:9" x14ac:dyDescent="0.4">
      <c r="A144" s="51"/>
      <c r="B144" s="51"/>
      <c r="C144" s="52"/>
      <c r="D144" s="52"/>
      <c r="E144" s="52"/>
      <c r="F144" s="52"/>
      <c r="G144" s="52"/>
      <c r="H144" s="71"/>
      <c r="I144" s="72"/>
    </row>
    <row r="145" spans="1:9" x14ac:dyDescent="0.4">
      <c r="A145" s="51"/>
      <c r="B145" s="51"/>
      <c r="C145" s="52"/>
      <c r="D145" s="52"/>
      <c r="E145" s="52"/>
      <c r="F145" s="52"/>
      <c r="G145" s="52"/>
      <c r="H145" s="71"/>
      <c r="I145" s="72"/>
    </row>
    <row r="146" spans="1:9" x14ac:dyDescent="0.4">
      <c r="A146" s="51"/>
      <c r="B146" s="51"/>
      <c r="C146" s="52"/>
      <c r="D146" s="52"/>
      <c r="E146" s="52"/>
      <c r="F146" s="52"/>
      <c r="G146" s="52"/>
      <c r="H146" s="71"/>
      <c r="I146" s="72"/>
    </row>
    <row r="147" spans="1:9" x14ac:dyDescent="0.4">
      <c r="A147" s="51"/>
      <c r="B147" s="51"/>
      <c r="C147" s="52"/>
      <c r="D147" s="52"/>
      <c r="E147" s="52"/>
      <c r="F147" s="52"/>
      <c r="G147" s="52"/>
      <c r="H147" s="71"/>
      <c r="I147" s="72"/>
    </row>
    <row r="148" spans="1:9" x14ac:dyDescent="0.4">
      <c r="A148" s="51"/>
      <c r="B148" s="51"/>
      <c r="C148" s="52"/>
      <c r="D148" s="52"/>
      <c r="E148" s="52"/>
      <c r="F148" s="52"/>
      <c r="G148" s="52"/>
      <c r="H148" s="71"/>
      <c r="I148" s="72"/>
    </row>
    <row r="149" spans="1:9" x14ac:dyDescent="0.4">
      <c r="A149" s="51"/>
      <c r="B149" s="51"/>
      <c r="C149" s="52"/>
      <c r="D149" s="52"/>
      <c r="E149" s="52"/>
      <c r="F149" s="52"/>
      <c r="G149" s="52"/>
      <c r="H149" s="71"/>
      <c r="I149" s="72"/>
    </row>
    <row r="150" spans="1:9" x14ac:dyDescent="0.4">
      <c r="A150" s="51"/>
      <c r="B150" s="51"/>
      <c r="C150" s="52"/>
      <c r="D150" s="52"/>
      <c r="E150" s="52"/>
      <c r="F150" s="52"/>
      <c r="G150" s="52"/>
      <c r="H150" s="71"/>
      <c r="I150" s="72"/>
    </row>
  </sheetData>
  <protectedRanges>
    <protectedRange sqref="A55:I150" name="Range1"/>
  </protectedRanges>
  <mergeCells count="104">
    <mergeCell ref="H149:I149"/>
    <mergeCell ref="H150:I150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60:I60"/>
    <mergeCell ref="H61:I61"/>
    <mergeCell ref="H62:I62"/>
    <mergeCell ref="H63:I63"/>
    <mergeCell ref="H64:I64"/>
    <mergeCell ref="H54:I54"/>
    <mergeCell ref="H55:I55"/>
    <mergeCell ref="H56:I56"/>
    <mergeCell ref="H57:I57"/>
    <mergeCell ref="L57:M57"/>
    <mergeCell ref="H58:I58"/>
    <mergeCell ref="Y1:AF1"/>
    <mergeCell ref="C11:G11"/>
    <mergeCell ref="O12:U12"/>
    <mergeCell ref="C25:G25"/>
    <mergeCell ref="C38:G38"/>
    <mergeCell ref="C53:F53"/>
    <mergeCell ref="H59:I59"/>
  </mergeCells>
  <conditionalFormatting sqref="X4:X12 X19:X24">
    <cfRule type="cellIs" dxfId="4" priority="1" operator="equal">
      <formula>"L"</formula>
    </cfRule>
    <cfRule type="cellIs" dxfId="3" priority="2" operator="equal">
      <formula>"NA"</formula>
    </cfRule>
    <cfRule type="cellIs" dxfId="2" priority="3" operator="equal">
      <formula>"M"</formula>
    </cfRule>
    <cfRule type="cellIs" dxfId="1" priority="4" operator="equal">
      <formula>"H"</formula>
    </cfRule>
    <cfRule type="cellIs" dxfId="0" priority="5" operator="equal">
      <formula>"VH"</formula>
    </cfRule>
  </conditionalFormatting>
  <dataValidations count="2">
    <dataValidation type="whole" allowBlank="1" showInputMessage="1" showErrorMessage="1" sqref="C55:G79" xr:uid="{3BD8E8C9-5649-42F0-BD0F-77547F797654}">
      <formula1>0</formula1>
      <formula2>100</formula2>
    </dataValidation>
    <dataValidation type="list" allowBlank="1" showInputMessage="1" showErrorMessage="1" sqref="B55:B150" xr:uid="{4C790B84-E070-44AC-AF46-A17F160A0977}">
      <formula1>$O$14:$O$22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2799-03F8-43A0-93E8-27D94573B4FF}">
  <dimension ref="A1:AC7"/>
  <sheetViews>
    <sheetView tabSelected="1" topLeftCell="E1" workbookViewId="0">
      <selection activeCell="T2" sqref="T2"/>
    </sheetView>
  </sheetViews>
  <sheetFormatPr defaultRowHeight="14.5" x14ac:dyDescent="0.35"/>
  <cols>
    <col min="2" max="2" width="16.26953125" bestFit="1" customWidth="1"/>
    <col min="3" max="3" width="8.6328125" bestFit="1" customWidth="1"/>
    <col min="4" max="4" width="21.36328125" bestFit="1" customWidth="1"/>
    <col min="5" max="5" width="11.90625" bestFit="1" customWidth="1"/>
    <col min="6" max="6" width="20.54296875" bestFit="1" customWidth="1"/>
    <col min="7" max="7" width="33.7265625" bestFit="1" customWidth="1"/>
    <col min="8" max="8" width="25.453125" bestFit="1" customWidth="1"/>
    <col min="9" max="9" width="14.81640625" bestFit="1" customWidth="1"/>
    <col min="10" max="10" width="4.08984375" bestFit="1" customWidth="1"/>
    <col min="11" max="18" width="4.54296875" bestFit="1" customWidth="1"/>
    <col min="19" max="21" width="5.26953125" bestFit="1" customWidth="1"/>
  </cols>
  <sheetData>
    <row r="1" spans="1:29" ht="16.5" x14ac:dyDescent="0.35">
      <c r="A1" s="66" t="s">
        <v>165</v>
      </c>
      <c r="B1" s="66" t="s">
        <v>127</v>
      </c>
      <c r="C1" s="66" t="s">
        <v>166</v>
      </c>
      <c r="D1" s="66" t="s">
        <v>128</v>
      </c>
      <c r="E1" s="66" t="s">
        <v>129</v>
      </c>
      <c r="F1" s="66" t="s">
        <v>130</v>
      </c>
      <c r="G1" s="66" t="s">
        <v>131</v>
      </c>
      <c r="H1" s="66" t="s">
        <v>167</v>
      </c>
      <c r="I1" s="67" t="s">
        <v>132</v>
      </c>
      <c r="J1" s="67" t="s">
        <v>133</v>
      </c>
      <c r="K1" s="67" t="s">
        <v>134</v>
      </c>
      <c r="L1" s="67" t="s">
        <v>135</v>
      </c>
      <c r="M1" s="67" t="s">
        <v>136</v>
      </c>
      <c r="N1" s="67" t="s">
        <v>137</v>
      </c>
      <c r="O1" s="67" t="s">
        <v>138</v>
      </c>
      <c r="P1" s="67" t="s">
        <v>139</v>
      </c>
      <c r="Q1" s="67" t="s">
        <v>140</v>
      </c>
      <c r="R1" s="67" t="s">
        <v>141</v>
      </c>
      <c r="S1" s="67" t="s">
        <v>142</v>
      </c>
      <c r="T1" s="67" t="s">
        <v>143</v>
      </c>
      <c r="U1" s="67" t="s">
        <v>144</v>
      </c>
      <c r="V1" s="67" t="s">
        <v>157</v>
      </c>
      <c r="W1" s="67" t="s">
        <v>158</v>
      </c>
      <c r="X1" s="67" t="s">
        <v>159</v>
      </c>
      <c r="Y1" s="67" t="s">
        <v>160</v>
      </c>
      <c r="Z1" s="67" t="s">
        <v>161</v>
      </c>
      <c r="AA1" s="67" t="s">
        <v>162</v>
      </c>
      <c r="AB1" s="67" t="s">
        <v>163</v>
      </c>
      <c r="AC1" s="67" t="s">
        <v>164</v>
      </c>
    </row>
    <row r="2" spans="1:29" ht="16.5" x14ac:dyDescent="0.4">
      <c r="A2" s="65"/>
      <c r="B2" s="61" t="s">
        <v>145</v>
      </c>
      <c r="C2" s="63" t="s">
        <v>146</v>
      </c>
      <c r="D2" s="63" t="s">
        <v>147</v>
      </c>
      <c r="E2" s="63" t="s">
        <v>152</v>
      </c>
      <c r="F2" s="63" t="s">
        <v>149</v>
      </c>
      <c r="G2" s="64" t="s">
        <v>155</v>
      </c>
      <c r="H2" s="68" t="s">
        <v>169</v>
      </c>
      <c r="I2" s="62">
        <f>SUM(J2:AC2)</f>
        <v>6.5</v>
      </c>
      <c r="J2" s="62">
        <v>1</v>
      </c>
      <c r="K2" s="62">
        <v>0.5</v>
      </c>
      <c r="L2" s="62">
        <v>0.5</v>
      </c>
      <c r="M2" s="62">
        <v>0.5</v>
      </c>
      <c r="N2" s="62">
        <v>0.5</v>
      </c>
      <c r="O2" s="62">
        <v>0.5</v>
      </c>
      <c r="P2" s="62">
        <v>0.5</v>
      </c>
      <c r="Q2" s="62">
        <v>0.5</v>
      </c>
      <c r="R2" s="62">
        <v>0.5</v>
      </c>
      <c r="S2" s="62">
        <v>0.5</v>
      </c>
      <c r="T2" s="62">
        <v>0.5</v>
      </c>
      <c r="U2" s="62">
        <v>0.5</v>
      </c>
      <c r="V2" s="65">
        <v>0</v>
      </c>
      <c r="W2" s="65">
        <v>0</v>
      </c>
      <c r="X2" s="65">
        <v>0</v>
      </c>
      <c r="Y2" s="65">
        <v>0</v>
      </c>
      <c r="Z2" s="65">
        <v>0</v>
      </c>
      <c r="AA2" s="65">
        <v>0</v>
      </c>
      <c r="AB2" s="65">
        <v>0</v>
      </c>
      <c r="AC2" s="65">
        <v>0</v>
      </c>
    </row>
    <row r="3" spans="1:29" ht="16.5" x14ac:dyDescent="0.4">
      <c r="A3" s="65"/>
      <c r="B3" s="61" t="s">
        <v>145</v>
      </c>
      <c r="C3" s="63" t="s">
        <v>146</v>
      </c>
      <c r="D3" s="63" t="s">
        <v>150</v>
      </c>
      <c r="E3" s="63" t="s">
        <v>148</v>
      </c>
      <c r="F3" s="63" t="s">
        <v>149</v>
      </c>
      <c r="G3" s="60" t="s">
        <v>154</v>
      </c>
      <c r="H3" s="68" t="s">
        <v>168</v>
      </c>
      <c r="I3" s="62">
        <f t="shared" ref="I3:I7" si="0">SUM(J3:AC3)</f>
        <v>43.5</v>
      </c>
      <c r="J3" s="62">
        <v>0</v>
      </c>
      <c r="K3" s="62">
        <v>2</v>
      </c>
      <c r="L3" s="62">
        <v>2</v>
      </c>
      <c r="M3" s="62">
        <v>4.5</v>
      </c>
      <c r="N3" s="62">
        <v>4.5</v>
      </c>
      <c r="O3" s="62">
        <v>4.5</v>
      </c>
      <c r="P3" s="62">
        <v>4.5</v>
      </c>
      <c r="Q3" s="62">
        <v>4.5</v>
      </c>
      <c r="R3" s="62">
        <v>4.5</v>
      </c>
      <c r="S3" s="62">
        <v>5.5</v>
      </c>
      <c r="T3" s="62">
        <v>5</v>
      </c>
      <c r="U3" s="62">
        <v>2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</row>
    <row r="4" spans="1:29" ht="16.5" x14ac:dyDescent="0.4">
      <c r="A4" s="65"/>
      <c r="B4" s="61" t="s">
        <v>145</v>
      </c>
      <c r="C4" s="63" t="s">
        <v>146</v>
      </c>
      <c r="D4" s="63" t="s">
        <v>151</v>
      </c>
      <c r="E4" s="63" t="s">
        <v>148</v>
      </c>
      <c r="F4" s="63" t="s">
        <v>149</v>
      </c>
      <c r="G4" s="60" t="s">
        <v>156</v>
      </c>
      <c r="H4" s="68" t="s">
        <v>170</v>
      </c>
      <c r="I4" s="62">
        <f t="shared" si="0"/>
        <v>29</v>
      </c>
      <c r="J4" s="62">
        <v>0</v>
      </c>
      <c r="K4" s="62">
        <v>1.5</v>
      </c>
      <c r="L4" s="62">
        <v>1.5</v>
      </c>
      <c r="M4" s="62">
        <v>2.5</v>
      </c>
      <c r="N4" s="62">
        <v>3</v>
      </c>
      <c r="O4" s="62">
        <v>3</v>
      </c>
      <c r="P4" s="62">
        <v>3</v>
      </c>
      <c r="Q4" s="62">
        <v>3</v>
      </c>
      <c r="R4" s="62">
        <v>3</v>
      </c>
      <c r="S4" s="62">
        <v>3.5</v>
      </c>
      <c r="T4" s="62">
        <v>3.5</v>
      </c>
      <c r="U4" s="62">
        <v>1.5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</row>
    <row r="5" spans="1:29" ht="16.5" x14ac:dyDescent="0.4">
      <c r="A5" s="65"/>
      <c r="B5" s="61" t="s">
        <v>153</v>
      </c>
      <c r="C5" s="63" t="s">
        <v>146</v>
      </c>
      <c r="D5" s="63" t="s">
        <v>147</v>
      </c>
      <c r="E5" s="63" t="s">
        <v>152</v>
      </c>
      <c r="F5" s="63" t="s">
        <v>149</v>
      </c>
      <c r="G5" s="59" t="s">
        <v>155</v>
      </c>
      <c r="H5" s="68" t="s">
        <v>169</v>
      </c>
      <c r="I5" s="62">
        <f t="shared" si="0"/>
        <v>2.5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0.5</v>
      </c>
      <c r="V5" s="62">
        <v>0.5</v>
      </c>
      <c r="W5" s="62">
        <v>0.5</v>
      </c>
      <c r="X5" s="62">
        <v>0.5</v>
      </c>
      <c r="Y5" s="62">
        <v>0.5</v>
      </c>
      <c r="Z5" s="62">
        <v>0</v>
      </c>
      <c r="AA5" s="62">
        <v>0</v>
      </c>
      <c r="AB5" s="62">
        <v>0</v>
      </c>
      <c r="AC5" s="62">
        <v>0</v>
      </c>
    </row>
    <row r="6" spans="1:29" ht="16.5" x14ac:dyDescent="0.4">
      <c r="A6" s="65"/>
      <c r="B6" s="61" t="s">
        <v>153</v>
      </c>
      <c r="C6" s="63" t="s">
        <v>146</v>
      </c>
      <c r="D6" s="63" t="s">
        <v>150</v>
      </c>
      <c r="E6" s="63" t="s">
        <v>148</v>
      </c>
      <c r="F6" s="63" t="s">
        <v>149</v>
      </c>
      <c r="G6" s="60" t="s">
        <v>154</v>
      </c>
      <c r="H6" s="68" t="s">
        <v>168</v>
      </c>
      <c r="I6" s="62">
        <f t="shared" si="0"/>
        <v>7</v>
      </c>
      <c r="J6" s="62"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1</v>
      </c>
      <c r="V6" s="62">
        <v>1</v>
      </c>
      <c r="W6" s="62">
        <v>1</v>
      </c>
      <c r="X6" s="62">
        <v>1</v>
      </c>
      <c r="Y6" s="62">
        <v>1</v>
      </c>
      <c r="Z6" s="62">
        <v>0.5</v>
      </c>
      <c r="AA6" s="62">
        <v>0.5</v>
      </c>
      <c r="AB6" s="62">
        <v>0.5</v>
      </c>
      <c r="AC6" s="62">
        <v>0.5</v>
      </c>
    </row>
    <row r="7" spans="1:29" ht="16.5" x14ac:dyDescent="0.4">
      <c r="A7" s="65"/>
      <c r="B7" s="61" t="s">
        <v>153</v>
      </c>
      <c r="C7" s="63" t="s">
        <v>146</v>
      </c>
      <c r="D7" s="63" t="s">
        <v>151</v>
      </c>
      <c r="E7" s="63" t="s">
        <v>148</v>
      </c>
      <c r="F7" s="63" t="s">
        <v>149</v>
      </c>
      <c r="G7" s="60" t="s">
        <v>156</v>
      </c>
      <c r="H7" s="68" t="s">
        <v>170</v>
      </c>
      <c r="I7" s="62">
        <f t="shared" si="0"/>
        <v>8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1</v>
      </c>
      <c r="W7" s="62">
        <v>1</v>
      </c>
      <c r="X7" s="62">
        <v>1</v>
      </c>
      <c r="Y7" s="62">
        <v>1</v>
      </c>
      <c r="Z7" s="62">
        <v>1</v>
      </c>
      <c r="AA7" s="62">
        <v>1</v>
      </c>
      <c r="AB7" s="62">
        <v>1</v>
      </c>
      <c r="AC7" s="62">
        <v>1</v>
      </c>
    </row>
  </sheetData>
  <protectedRanges>
    <protectedRange algorithmName="SHA-512" hashValue="LpAznHiF2uYTFbh3m+Hi5lNMBjK2+Sf5arMgBrfFQAwMAJV/i5YzZtdWGlCXWfSrIsCso/eiKBIKnW12Tuu9Ng==" saltValue="dUJAQ7dvtFUMSmS9vffgHQ==" spinCount="100000" sqref="H2:H4 H6" name="LEVEL_1"/>
    <protectedRange algorithmName="SHA-512" hashValue="LpAznHiF2uYTFbh3m+Hi5lNMBjK2+Sf5arMgBrfFQAwMAJV/i5YzZtdWGlCXWfSrIsCso/eiKBIKnW12Tuu9Ng==" saltValue="dUJAQ7dvtFUMSmS9vffgHQ==" spinCount="100000" sqref="H5 H7" name="LEVEL_3"/>
  </protectedRange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RICEFW Estimator</vt:lpstr>
      <vt:lpstr>Resource Loading</vt:lpstr>
    </vt:vector>
  </TitlesOfParts>
  <Company>HCL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Singh</dc:creator>
  <cp:lastModifiedBy>Sandeep Singh</cp:lastModifiedBy>
  <dcterms:created xsi:type="dcterms:W3CDTF">2026-03-10T07:38:10Z</dcterms:created>
  <dcterms:modified xsi:type="dcterms:W3CDTF">2026-03-11T05:53:15Z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a20a8110-3670-432c-be90-240ce14e291a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